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Mahankal\OneDrive\Desktop\CX-128-MOR_BATCH\Excel Projects\"/>
    </mc:Choice>
  </mc:AlternateContent>
  <xr:revisionPtr revIDLastSave="0" documentId="13_ncr:1_{B1B27209-1C15-498B-9B77-E511CE72A654}" xr6:coauthVersionLast="47" xr6:coauthVersionMax="47" xr10:uidLastSave="{00000000-0000-0000-0000-000000000000}"/>
  <bookViews>
    <workbookView xWindow="7428" yWindow="0" windowWidth="15708" windowHeight="12336" firstSheet="1" activeTab="2" xr2:uid="{00000000-000D-0000-FFFF-FFFF00000000}"/>
  </bookViews>
  <sheets>
    <sheet name="Information" sheetId="2" r:id="rId1"/>
    <sheet name="Depreciation Calculator" sheetId="1" r:id="rId2"/>
    <sheet name="Advanced Problem Statements "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1" l="1"/>
  <c r="C27" i="1"/>
  <c r="D27" i="1" s="1"/>
  <c r="C28" i="1" s="1"/>
  <c r="D28" i="1" s="1"/>
  <c r="D8" i="1"/>
  <c r="D20" i="1"/>
  <c r="D23" i="1" s="1"/>
  <c r="C26" i="1" s="1"/>
  <c r="D26" i="1" s="1"/>
  <c r="C29" i="1" l="1"/>
  <c r="D29" i="1" s="1"/>
  <c r="K7" i="1"/>
  <c r="K9" i="1"/>
  <c r="F23" i="1"/>
  <c r="F11" i="1"/>
  <c r="D11" i="1"/>
  <c r="D13" i="1" s="1"/>
  <c r="C30" i="1" l="1"/>
  <c r="D30" i="1"/>
  <c r="C31" i="1" s="1"/>
  <c r="D31" i="1" s="1"/>
  <c r="C32" i="1" s="1"/>
  <c r="K19" i="1"/>
  <c r="K17" i="1"/>
  <c r="F14" i="1"/>
  <c r="D14" i="1"/>
  <c r="F13" i="1"/>
  <c r="D12" i="1"/>
  <c r="F12" i="1"/>
  <c r="F15" i="1" l="1"/>
  <c r="D15" i="1"/>
  <c r="K28" i="1" l="1"/>
  <c r="K35" i="1" l="1"/>
  <c r="K25" i="1"/>
  <c r="D32" i="1" l="1"/>
  <c r="C33" i="1" s="1"/>
  <c r="C36" i="1"/>
  <c r="K33" i="1" l="1"/>
  <c r="K40" i="1"/>
  <c r="K42" i="1"/>
  <c r="D37" i="1"/>
  <c r="C37" i="1" s="1"/>
  <c r="D33" i="1" l="1"/>
  <c r="K49" i="1"/>
  <c r="K47" i="1"/>
  <c r="D38" i="1"/>
  <c r="C38" i="1" s="1"/>
  <c r="C34" i="1" l="1"/>
  <c r="D34" i="1" s="1"/>
  <c r="K56" i="1"/>
  <c r="D39" i="1"/>
  <c r="C39" i="1" s="1"/>
  <c r="C35" i="1" l="1"/>
  <c r="D35" i="1"/>
  <c r="K61" i="1"/>
  <c r="K63" i="1"/>
  <c r="K54" i="1"/>
  <c r="D40" i="1"/>
  <c r="C40" i="1" s="1"/>
  <c r="D41" i="1" l="1"/>
  <c r="C41" i="1" s="1"/>
  <c r="K68" i="1" l="1"/>
  <c r="K70" i="1"/>
  <c r="D42" i="1"/>
  <c r="C42" i="1" s="1"/>
  <c r="K77" i="1" l="1"/>
  <c r="D43" i="1"/>
  <c r="K75" i="1" l="1"/>
  <c r="C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<sst xmlns="http://schemas.openxmlformats.org/spreadsheetml/2006/main" count="115" uniqueCount="82">
  <si>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</si>
  <si>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</si>
  <si>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</si>
  <si>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</si>
  <si>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</si>
  <si>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</si>
  <si>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</si>
  <si>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</si>
  <si>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</si>
  <si>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</si>
  <si>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</si>
  <si>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</si>
  <si>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</si>
  <si>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</si>
  <si>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</si>
  <si>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</si>
  <si>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</si>
  <si>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</si>
  <si>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</si>
  <si>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</si>
  <si>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Intermediate Problem Statements</t>
  </si>
  <si>
    <t>1. Find the Book Value for Year 1 and the after that Calculate the Year on Year Depreciation amount</t>
  </si>
  <si>
    <t>(Hint :- For Year on Year Depreciation amount for Year1 you can use formula of (Book Value on Year1 * Rate of Depreciation as per Diminshing Balance Method))</t>
  </si>
  <si>
    <t xml:space="preserve">Book Value for Year 1 = </t>
  </si>
  <si>
    <t>→</t>
  </si>
  <si>
    <t>The Year on Year Depreciation amount =</t>
  </si>
  <si>
    <t>2. Find the Book Value for Year2 and its Year on Year Depreciation amount for Year2</t>
  </si>
  <si>
    <t xml:space="preserve">Book Value for Year 2 = </t>
  </si>
  <si>
    <t>and for For Year on Year Depreciation amount for year2 you can use formula of (Book Value on Year2 * Rate of Depreciation as per Diminshing Balance Method))</t>
  </si>
  <si>
    <t>3. Find the Book Value for Year3 and its Year on Year Depreciation amount for Year3</t>
  </si>
  <si>
    <t>(Hint : For Calculating the Book Value for Year3 use formula (Book Value of Year2 - Year on Year Depreciation amount) for Year2 and for For Year on Year Depreciation amount for year3 you can use formula of (Book Value on Year3 * Rate of Depreciation as per Diminshing Balance Method))</t>
  </si>
  <si>
    <t xml:space="preserve">(Hint : For Calculating the Book Value for Year2 use formula (Book Value of Year1 - Year on Year Depreciation amount) </t>
  </si>
  <si>
    <t>Year on Year Depreciation amount for Year2 =</t>
  </si>
  <si>
    <t xml:space="preserve">Book Value for Year 3 = </t>
  </si>
  <si>
    <t>1) Calculate the annual depreciation amount using the straight line method for the given asset.</t>
  </si>
  <si>
    <t>2) Calculate the total depreciation for the asset's entire life span using the straight-line method.</t>
  </si>
  <si>
    <t>3) What is the depreciated book value of the asset after its life span using the straight-line method?</t>
  </si>
  <si>
    <t>4) Calculate the rate of depreciation per year as per the diminishing balance method.</t>
  </si>
  <si>
    <t>5) What is the depreciation amount for the asset in the second year according to the diminishing balance method?</t>
  </si>
  <si>
    <t>6) What is the book value of the asset in the fourth year using the diminishing balance method?</t>
  </si>
  <si>
    <t>7) Calculate the total depreciation for the asset's entire life span using the diminishing balance method.</t>
  </si>
  <si>
    <t>8) What is the book value of the asset after its life span using the diminishing balance method?</t>
  </si>
  <si>
    <t>9) Compare the total depreciation amounts obtained from the straight-line method and the diminishing balance method. Which method results in higher total depreciation?</t>
  </si>
  <si>
    <t>10) Prepare an Presentation for above Analysis you made so far along with Visual Graphs representation</t>
  </si>
  <si>
    <t>(Asset Price - Scrap Value) / Estimated Life Span.</t>
  </si>
  <si>
    <t>=($5,00,000-$50,000)/10</t>
  </si>
  <si>
    <t>(Depreciation/Year as per Straight Line Method) * Estimated Life Span.</t>
  </si>
  <si>
    <t>=$45,000)*10</t>
  </si>
  <si>
    <t>The value of the asset after it has been fully depreciated, equal to the scrap value.</t>
  </si>
  <si>
    <t xml:space="preserve">Year on Year Depreciation amount for Year2 </t>
  </si>
  <si>
    <t>= Year 2 Book Value* Rate of Depreciation as per Diminishing Balance Method</t>
  </si>
  <si>
    <t>=$73,516.90</t>
  </si>
  <si>
    <t>=$3,57,447.71*20.57</t>
  </si>
  <si>
    <t>4. Find the Book Value for Year4 and its Year on Year Depreciation amount for Year4</t>
  </si>
  <si>
    <t>5. Find the Book Value for Year5 and its Year on Year Depreciation amount for Year5</t>
  </si>
  <si>
    <t>10. Find the Book Value for Year10 and its Year on Year Depreciation amount for Year10</t>
  </si>
  <si>
    <t>9. Find the Book Value for Year9 and its Year on Year Depreciation amount for Year9</t>
  </si>
  <si>
    <t>8. Find the Book Value for Year8 and its Year on Year Depreciation amount for Year8</t>
  </si>
  <si>
    <t>7. Find the Book Value for Year7 and its Year on Year Depreciation amount for Year7</t>
  </si>
  <si>
    <t>6. Find the Book Value for Year6 and its Year on Year Depreciation amount for Year6</t>
  </si>
  <si>
    <t>Year on Year Depreciation amount for Year10 =</t>
  </si>
  <si>
    <t>Year on Year Depreciation amount for Year9 =</t>
  </si>
  <si>
    <t>Year on Year Depreciation amount for Year8 =</t>
  </si>
  <si>
    <t>Year on Year Depreciation amount for Year7 =</t>
  </si>
  <si>
    <t>Year on Year Depreciation amount for Year6 =</t>
  </si>
  <si>
    <t>Year on Year Depreciation amount for Year5 =</t>
  </si>
  <si>
    <t>Year on Year Depreciation amount for Year4 =</t>
  </si>
  <si>
    <t>Year on Year Depreciation amount for Year3 =</t>
  </si>
  <si>
    <t xml:space="preserve">Book Value for Year 6 = </t>
  </si>
  <si>
    <t xml:space="preserve">Book Value for Year 4 = </t>
  </si>
  <si>
    <t xml:space="preserve">Book Value for Year 5 = </t>
  </si>
  <si>
    <t xml:space="preserve">Book Value for Year 7 = </t>
  </si>
  <si>
    <t xml:space="preserve">Book Value for Year 8 = </t>
  </si>
  <si>
    <t xml:space="preserve">Book Value for Year 9 = </t>
  </si>
  <si>
    <t xml:space="preserve">Book Value for Year 10 = </t>
  </si>
  <si>
    <t>Book Value for Year 4 = Book Value of Year3 - Year on Year Depreciation amount</t>
  </si>
  <si>
    <t>Total Depreciation Rate = Sum Of All the Year on Year Depreciation amount of Estimated Life Span (year)</t>
  </si>
  <si>
    <t>Rate Of Depreciation = (Asset Price - Scrap value) / Estimated Life Span(Year)</t>
  </si>
  <si>
    <t>After Comparing the total depreciation amounts obtained from the straight-line method and the diminishing balance method,</t>
  </si>
  <si>
    <t>The Straight Line Method results higher total Depreciation</t>
  </si>
  <si>
    <t xml:space="preserve">The book value of an asset at the end of its useful life using the diminishing balance method will be equal to its estimated salvage value. </t>
  </si>
  <si>
    <t>This is because the diminishing balance method (also known as the reducing balance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</si>
</sst>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409]#,##0.00_ ;[Red]\-[$$-409]#,##0.00\ "/>
    <numFmt numFmtId="165" formatCode="[$$-409]#,##0.00"/>
    <numFmt numFmtId="166" formatCode="_-[$$-409]* #,##0.00_ ;_-[$$-409]* \-#,##0.00\ ;_-[$$-409]* &quot;-&quot;??_ ;_-@_ "/>
  </numFmts>
  <fonts count="23"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sz val="11"/>
      <color theme="1"/>
      <name val="Calibri"/>
      <family val="2"/>
      <scheme val="minor"/>
    </font>
    <font>
      <b/>
      <u/>
      <sz val="20"/>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sz val="11"/>
      <color theme="1"/>
      <name val="Calibri"/>
      <family val="2"/>
    </font>
    <font>
      <b/>
      <sz val="14"/>
      <color theme="1"/>
      <name val="Times New Roman"/>
      <family val="1"/>
    </font>
    <font>
      <b/>
      <sz val="14"/>
      <color theme="0"/>
      <name val="Calibri"/>
      <family val="2"/>
      <scheme val="minor"/>
    </font>
    <font>
      <b/>
      <sz val="16"/>
      <color theme="0"/>
      <name val="Calibri"/>
      <family val="2"/>
      <scheme val="minor"/>
    </font>
    <font>
      <b/>
      <sz val="16"/>
      <color theme="1"/>
      <name val="Calibri"/>
      <family val="2"/>
    </font>
    <font>
      <b/>
      <sz val="16"/>
      <color theme="1"/>
      <name val="Times New Roman"/>
      <family val="1"/>
    </font>
    <font>
      <sz val="14"/>
      <color theme="1"/>
      <name val="Calibri"/>
      <family val="2"/>
    </font>
    <font>
      <b/>
      <u/>
      <sz val="14"/>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4"/>
        <bgColor indexed="64"/>
      </patternFill>
    </fill>
  </fills>
  <borders count="6">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s>
  <cellStyleXfs count="4">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xf numFmtId="44" fontId="10" fillId="0" borderId="0" applyFont="0" applyFill="0" applyBorder="0" applyAlignment="0" applyProtection="0"/>
  </cellStyleXfs>
  <cellXfs count="63">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164" fontId="1" fillId="0" borderId="0" xfId="0" applyNumberFormat="1" applyFont="1" applyAlignment="1">
      <alignment horizontal="center" vertical="center"/>
    </xf>
    <xf numFmtId="10" fontId="1" fillId="0" borderId="0" xfId="2" applyNumberFormat="1" applyFont="1" applyAlignment="1">
      <alignment horizontal="center" vertical="center"/>
    </xf>
    <xf numFmtId="0" fontId="11" fillId="0" borderId="0" xfId="0" applyFont="1" applyAlignment="1">
      <alignment horizontal="center" vertical="center"/>
    </xf>
    <xf numFmtId="165" fontId="1" fillId="0" borderId="0" xfId="0" applyNumberFormat="1" applyFont="1" applyAlignment="1">
      <alignment horizontal="center" vertical="center"/>
    </xf>
    <xf numFmtId="0" fontId="12" fillId="0" borderId="0" xfId="0" applyFont="1" applyAlignment="1">
      <alignment horizontal="center" vertical="center"/>
    </xf>
    <xf numFmtId="0" fontId="15" fillId="0" borderId="0" xfId="0" applyFont="1"/>
    <xf numFmtId="9" fontId="1" fillId="0" borderId="0" xfId="2" applyFont="1" applyAlignment="1">
      <alignment horizontal="center" vertical="center"/>
    </xf>
    <xf numFmtId="0" fontId="1" fillId="0" borderId="0" xfId="0" applyFont="1" applyAlignment="1">
      <alignment horizontal="left" vertical="center"/>
    </xf>
    <xf numFmtId="0" fontId="14" fillId="0" borderId="0" xfId="0" applyFont="1" applyAlignment="1">
      <alignment horizontal="left" vertical="center"/>
    </xf>
    <xf numFmtId="0" fontId="14" fillId="0" borderId="0" xfId="0" applyFont="1" applyAlignment="1">
      <alignment horizontal="left"/>
    </xf>
    <xf numFmtId="0" fontId="13" fillId="0" borderId="0" xfId="0" applyFont="1" applyAlignment="1">
      <alignment horizontal="left" vertical="center"/>
    </xf>
    <xf numFmtId="0" fontId="12" fillId="0" borderId="0" xfId="0" applyFont="1" applyAlignment="1">
      <alignment horizontal="left" vertical="center"/>
    </xf>
    <xf numFmtId="164" fontId="1" fillId="0" borderId="0" xfId="0" applyNumberFormat="1" applyFont="1" applyAlignment="1">
      <alignment horizontal="left" vertical="center"/>
    </xf>
    <xf numFmtId="0" fontId="12" fillId="0" borderId="0" xfId="0" applyFont="1"/>
    <xf numFmtId="0" fontId="1" fillId="0" borderId="0" xfId="0" applyFont="1" applyAlignment="1">
      <alignment vertical="center"/>
    </xf>
    <xf numFmtId="0" fontId="14" fillId="0" borderId="0" xfId="0" applyFont="1" applyAlignment="1">
      <alignment vertical="center"/>
    </xf>
    <xf numFmtId="164" fontId="6" fillId="4" borderId="1" xfId="0" applyNumberFormat="1" applyFont="1" applyFill="1" applyBorder="1" applyAlignment="1">
      <alignment vertical="center"/>
    </xf>
    <xf numFmtId="0" fontId="14" fillId="0" borderId="0" xfId="0" applyFont="1"/>
    <xf numFmtId="0" fontId="13" fillId="0" borderId="0" xfId="0" applyFont="1" applyAlignment="1">
      <alignment vertical="center"/>
    </xf>
    <xf numFmtId="165" fontId="6" fillId="4" borderId="0" xfId="0" applyNumberFormat="1" applyFont="1" applyFill="1" applyAlignment="1">
      <alignment vertical="center"/>
    </xf>
    <xf numFmtId="165" fontId="1" fillId="0" borderId="0" xfId="0" applyNumberFormat="1" applyFont="1" applyAlignment="1">
      <alignment vertical="center"/>
    </xf>
    <xf numFmtId="0" fontId="12" fillId="0" borderId="0" xfId="0" applyFont="1" applyAlignment="1">
      <alignment vertical="center"/>
    </xf>
    <xf numFmtId="0" fontId="16" fillId="0" borderId="0" xfId="0" applyFont="1" applyAlignment="1">
      <alignment vertical="center"/>
    </xf>
    <xf numFmtId="165" fontId="17" fillId="4" borderId="0" xfId="0" applyNumberFormat="1" applyFont="1" applyFill="1" applyAlignment="1">
      <alignment vertical="center"/>
    </xf>
    <xf numFmtId="165" fontId="6" fillId="4" borderId="0" xfId="0" applyNumberFormat="1" applyFont="1" applyFill="1" applyAlignment="1">
      <alignment horizontal="right" vertical="center"/>
    </xf>
    <xf numFmtId="166" fontId="6" fillId="4" borderId="0" xfId="3" applyNumberFormat="1" applyFont="1" applyFill="1" applyAlignment="1">
      <alignment vertical="center"/>
    </xf>
    <xf numFmtId="166" fontId="6" fillId="4" borderId="0" xfId="0" applyNumberFormat="1" applyFont="1" applyFill="1" applyAlignment="1">
      <alignment vertical="center"/>
    </xf>
    <xf numFmtId="165" fontId="18" fillId="4" borderId="0" xfId="0" applyNumberFormat="1" applyFont="1" applyFill="1" applyAlignment="1">
      <alignment vertical="center"/>
    </xf>
    <xf numFmtId="166" fontId="18" fillId="4" borderId="0" xfId="0" applyNumberFormat="1" applyFont="1" applyFill="1" applyAlignment="1">
      <alignment vertical="center"/>
    </xf>
    <xf numFmtId="164" fontId="20" fillId="0" borderId="0" xfId="0" applyNumberFormat="1" applyFont="1" applyAlignment="1">
      <alignment horizontal="center" vertical="center"/>
    </xf>
    <xf numFmtId="164" fontId="19" fillId="0" borderId="0" xfId="0" applyNumberFormat="1" applyFont="1" applyAlignment="1">
      <alignment horizontal="center" vertical="center"/>
    </xf>
    <xf numFmtId="0" fontId="20" fillId="0" borderId="0" xfId="0" applyFont="1" applyAlignment="1">
      <alignment horizontal="center" vertical="center"/>
    </xf>
    <xf numFmtId="0" fontId="19" fillId="0" borderId="0" xfId="0" applyFont="1" applyAlignment="1">
      <alignment horizontal="center" vertical="center"/>
    </xf>
    <xf numFmtId="165" fontId="20" fillId="0" borderId="0" xfId="0" applyNumberFormat="1" applyFont="1" applyAlignment="1">
      <alignment horizontal="center" vertical="center"/>
    </xf>
    <xf numFmtId="165" fontId="19" fillId="0" borderId="0" xfId="0" applyNumberFormat="1" applyFont="1" applyAlignment="1">
      <alignment horizontal="center" vertical="center"/>
    </xf>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0" fontId="13" fillId="0" borderId="0" xfId="0" applyFont="1"/>
    <xf numFmtId="0" fontId="21" fillId="0" borderId="0" xfId="0" applyFont="1"/>
    <xf numFmtId="0" fontId="14" fillId="0" borderId="0" xfId="0" quotePrefix="1" applyFont="1"/>
    <xf numFmtId="0" fontId="13" fillId="0" borderId="0" xfId="0" quotePrefix="1" applyFont="1"/>
    <xf numFmtId="0" fontId="14" fillId="5" borderId="0" xfId="0" quotePrefix="1" applyFont="1" applyFill="1"/>
    <xf numFmtId="0" fontId="22" fillId="0" borderId="0" xfId="0" applyFont="1"/>
  </cellXfs>
  <cellStyles count="4">
    <cellStyle name="Currency" xfId="3" builtinId="4"/>
    <cellStyle name="Hyperlink" xfId="1"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B19" sqref="AB19"/>
    </sheetView>
  </sheetViews>
  <sheetFormatPr defaultRowHeight="14.4" x14ac:dyDescent="0.3"/>
  <cols>
    <col min="1" max="1" width="9.1093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8"/>
  <sheetViews>
    <sheetView topLeftCell="A6" zoomScale="62" zoomScaleNormal="58" workbookViewId="0">
      <selection activeCell="F20" sqref="F20"/>
    </sheetView>
  </sheetViews>
  <sheetFormatPr defaultColWidth="8.6640625" defaultRowHeight="18" x14ac:dyDescent="0.3"/>
  <cols>
    <col min="1" max="1" width="3.109375" style="1" customWidth="1"/>
    <col min="2" max="2" width="12.5546875" style="1" customWidth="1"/>
    <col min="3" max="3" width="79.88671875" style="1" customWidth="1"/>
    <col min="4" max="4" width="19.109375" style="1" bestFit="1" customWidth="1"/>
    <col min="5" max="5" width="3.33203125" style="1" customWidth="1"/>
    <col min="6" max="6" width="22.44140625" style="1" customWidth="1"/>
    <col min="7" max="7" width="20.44140625" style="1" customWidth="1"/>
    <col min="8" max="8" width="22" style="1" customWidth="1"/>
    <col min="9" max="9" width="17.6640625" style="1" customWidth="1"/>
    <col min="10" max="10" width="20.109375" style="1" customWidth="1"/>
    <col min="11" max="11" width="17" style="1" customWidth="1"/>
    <col min="12" max="12" width="16.21875" style="1" customWidth="1"/>
    <col min="13" max="16384" width="8.6640625" style="1"/>
  </cols>
  <sheetData>
    <row r="1" spans="1:23" ht="9.9" customHeight="1" thickBot="1" x14ac:dyDescent="0.35">
      <c r="A1" s="9"/>
      <c r="B1" s="9"/>
      <c r="C1" s="9"/>
      <c r="D1" s="9"/>
      <c r="E1" s="9"/>
    </row>
    <row r="2" spans="1:23" ht="37.799999999999997" thickTop="1" thickBot="1" x14ac:dyDescent="0.35">
      <c r="A2" s="9"/>
      <c r="B2" s="53"/>
      <c r="C2" s="51" t="s">
        <v>19</v>
      </c>
      <c r="D2" s="51"/>
      <c r="E2" s="9"/>
      <c r="K2" s="14" t="s">
        <v>20</v>
      </c>
    </row>
    <row r="3" spans="1:23" ht="25.8" thickTop="1" thickBot="1" x14ac:dyDescent="0.35">
      <c r="A3" s="9"/>
      <c r="B3" s="54"/>
      <c r="C3" s="52" t="s">
        <v>8</v>
      </c>
      <c r="D3" s="52"/>
      <c r="E3" s="9"/>
    </row>
    <row r="4" spans="1:23" ht="22.2" thickTop="1" thickBot="1" x14ac:dyDescent="0.45">
      <c r="A4" s="9"/>
      <c r="B4" s="5"/>
      <c r="C4" s="5"/>
      <c r="D4" s="5"/>
      <c r="E4" s="9"/>
      <c r="H4" s="25" t="s">
        <v>21</v>
      </c>
      <c r="I4" s="26"/>
      <c r="J4" s="26"/>
      <c r="K4" s="26"/>
      <c r="L4" s="26"/>
      <c r="M4" s="26"/>
      <c r="N4" s="26"/>
      <c r="O4" s="26"/>
      <c r="P4" s="26"/>
      <c r="Q4" s="26"/>
    </row>
    <row r="5" spans="1:23" ht="25.8" thickTop="1" thickBot="1" x14ac:dyDescent="0.45">
      <c r="A5" s="9"/>
      <c r="B5" s="49" t="s">
        <v>17</v>
      </c>
      <c r="C5" s="49"/>
      <c r="D5" s="49"/>
      <c r="E5" s="9"/>
      <c r="H5" s="25" t="s">
        <v>22</v>
      </c>
      <c r="I5" s="26"/>
      <c r="J5" s="26"/>
      <c r="K5" s="26"/>
      <c r="L5" s="26"/>
      <c r="M5" s="26"/>
      <c r="N5" s="26"/>
      <c r="O5" s="26"/>
      <c r="P5" s="26"/>
      <c r="Q5" s="26"/>
    </row>
    <row r="6" spans="1:23" ht="19.2" thickTop="1" thickBot="1" x14ac:dyDescent="0.35">
      <c r="A6" s="9"/>
      <c r="B6" s="47" t="s">
        <v>11</v>
      </c>
      <c r="C6" s="48"/>
      <c r="D6" s="10">
        <v>450000</v>
      </c>
      <c r="E6" s="9"/>
      <c r="H6" s="26"/>
      <c r="I6" s="26"/>
      <c r="J6" s="26"/>
      <c r="K6" s="26"/>
      <c r="L6" s="26"/>
      <c r="M6" s="26"/>
      <c r="N6" s="26"/>
      <c r="O6" s="26"/>
      <c r="P6" s="26"/>
      <c r="Q6" s="26"/>
    </row>
    <row r="7" spans="1:23" ht="22.2" thickTop="1" thickBot="1" x14ac:dyDescent="0.35">
      <c r="A7" s="9"/>
      <c r="B7" s="47" t="s">
        <v>13</v>
      </c>
      <c r="C7" s="48"/>
      <c r="D7" s="10">
        <v>50000</v>
      </c>
      <c r="E7" s="9"/>
      <c r="G7" s="44" t="s">
        <v>24</v>
      </c>
      <c r="H7" s="26"/>
      <c r="I7" s="27" t="s">
        <v>23</v>
      </c>
      <c r="J7" s="26"/>
      <c r="K7" s="28">
        <f>D18-C26</f>
        <v>357447.70562592667</v>
      </c>
      <c r="L7" s="26"/>
      <c r="M7" s="26"/>
      <c r="N7" s="26"/>
      <c r="O7" s="26"/>
      <c r="P7" s="26"/>
      <c r="Q7" s="26"/>
    </row>
    <row r="8" spans="1:23" ht="21.6" thickTop="1" thickBot="1" x14ac:dyDescent="0.35">
      <c r="A8" s="9"/>
      <c r="B8" s="47" t="s">
        <v>0</v>
      </c>
      <c r="C8" s="48"/>
      <c r="D8" s="4">
        <f>D6+D7</f>
        <v>500000</v>
      </c>
      <c r="E8" s="9"/>
      <c r="G8" s="43"/>
      <c r="H8" s="26"/>
      <c r="I8" s="26"/>
      <c r="J8" s="26"/>
      <c r="K8" s="26"/>
      <c r="L8" s="26"/>
      <c r="M8" s="26"/>
      <c r="N8" s="26"/>
      <c r="O8" s="26"/>
      <c r="P8" s="26"/>
      <c r="Q8" s="26"/>
    </row>
    <row r="9" spans="1:23" ht="22.2" thickTop="1" thickBot="1" x14ac:dyDescent="0.4">
      <c r="A9" s="9"/>
      <c r="B9" s="47" t="s">
        <v>1</v>
      </c>
      <c r="C9" s="48"/>
      <c r="D9" s="10">
        <v>50000</v>
      </c>
      <c r="E9" s="9"/>
      <c r="G9" s="44" t="s">
        <v>24</v>
      </c>
      <c r="H9" s="29" t="s">
        <v>25</v>
      </c>
      <c r="I9" s="30"/>
      <c r="J9" s="26"/>
      <c r="K9" s="31">
        <f>D18*D23</f>
        <v>92552.294374073332</v>
      </c>
      <c r="L9" s="26"/>
      <c r="M9" s="26"/>
      <c r="N9" s="26"/>
      <c r="O9" s="26"/>
      <c r="P9" s="26"/>
      <c r="Q9" s="26"/>
    </row>
    <row r="10" spans="1:23" ht="21.6" thickTop="1" thickBot="1" x14ac:dyDescent="0.35">
      <c r="A10" s="9"/>
      <c r="B10" s="47" t="s">
        <v>2</v>
      </c>
      <c r="C10" s="48"/>
      <c r="D10" s="11">
        <v>10</v>
      </c>
      <c r="E10" s="9"/>
      <c r="G10" s="43"/>
      <c r="H10" s="26"/>
      <c r="I10" s="26"/>
      <c r="J10" s="26"/>
      <c r="K10" s="26"/>
      <c r="L10" s="32"/>
      <c r="M10" s="26"/>
      <c r="N10" s="26"/>
      <c r="O10" s="26"/>
      <c r="P10" s="26"/>
      <c r="Q10" s="26"/>
    </row>
    <row r="11" spans="1:23" ht="21.6" thickTop="1" thickBot="1" x14ac:dyDescent="0.35">
      <c r="A11" s="9"/>
      <c r="B11" s="50" t="s">
        <v>9</v>
      </c>
      <c r="C11" s="50"/>
      <c r="D11" s="4">
        <f>IF(D8="", "", SLN($D$8,$D$9,$D$10))</f>
        <v>45000</v>
      </c>
      <c r="E11" s="9"/>
      <c r="F11" s="12">
        <f>(D8-D9)/D10</f>
        <v>45000</v>
      </c>
      <c r="G11" s="43"/>
      <c r="H11" s="26"/>
      <c r="I11" s="26"/>
      <c r="J11" s="26"/>
      <c r="K11" s="26"/>
      <c r="L11" s="32"/>
      <c r="M11" s="26"/>
      <c r="N11" s="26"/>
      <c r="O11" s="26"/>
      <c r="P11" s="26"/>
      <c r="Q11" s="26"/>
    </row>
    <row r="12" spans="1:23" ht="22.2" thickTop="1" thickBot="1" x14ac:dyDescent="0.45">
      <c r="A12" s="9"/>
      <c r="B12" s="50" t="s">
        <v>12</v>
      </c>
      <c r="C12" s="50"/>
      <c r="D12" s="6">
        <f>IFERROR(D11/D8,D8)</f>
        <v>0.09</v>
      </c>
      <c r="E12" s="9"/>
      <c r="F12" s="13">
        <f>D11/D8</f>
        <v>0.09</v>
      </c>
      <c r="G12" s="43"/>
      <c r="H12" s="25" t="s">
        <v>26</v>
      </c>
      <c r="I12" s="26"/>
      <c r="J12" s="26"/>
      <c r="K12" s="26"/>
      <c r="L12" s="32"/>
      <c r="M12" s="26"/>
      <c r="N12" s="26"/>
      <c r="O12" s="26"/>
      <c r="P12" s="26"/>
      <c r="Q12" s="26"/>
    </row>
    <row r="13" spans="1:23" ht="22.2" thickTop="1" thickBot="1" x14ac:dyDescent="0.45">
      <c r="A13" s="9"/>
      <c r="B13" s="47" t="s">
        <v>5</v>
      </c>
      <c r="C13" s="48"/>
      <c r="D13" s="3">
        <f>IF(D8="", "", D11*D10)</f>
        <v>450000</v>
      </c>
      <c r="E13" s="9"/>
      <c r="F13" s="12">
        <f>D11*D10</f>
        <v>450000</v>
      </c>
      <c r="G13" s="43"/>
      <c r="H13" s="25" t="s">
        <v>31</v>
      </c>
      <c r="I13" s="26"/>
      <c r="J13" s="26"/>
      <c r="K13" s="26"/>
      <c r="L13" s="32"/>
      <c r="M13" s="26"/>
      <c r="N13" s="26"/>
      <c r="O13" s="26"/>
      <c r="P13" s="26"/>
      <c r="Q13" s="26"/>
    </row>
    <row r="14" spans="1:23" ht="22.2" thickTop="1" thickBot="1" x14ac:dyDescent="0.35">
      <c r="A14" s="9"/>
      <c r="B14" s="47" t="s">
        <v>4</v>
      </c>
      <c r="C14" s="48"/>
      <c r="D14" s="3">
        <f>IF(D8="","", D8-D13)</f>
        <v>50000</v>
      </c>
      <c r="E14" s="9"/>
      <c r="F14" s="12">
        <f>D8-D13</f>
        <v>50000</v>
      </c>
      <c r="G14" s="43"/>
      <c r="H14" s="33" t="s">
        <v>28</v>
      </c>
      <c r="I14" s="26"/>
      <c r="J14" s="26"/>
      <c r="K14" s="26"/>
      <c r="L14" s="26"/>
      <c r="M14" s="33"/>
      <c r="O14" s="26"/>
      <c r="P14" s="26"/>
      <c r="Q14" s="26"/>
      <c r="S14" s="16"/>
      <c r="T14" s="16"/>
      <c r="U14" s="16"/>
      <c r="V14" s="16"/>
      <c r="W14" s="16"/>
    </row>
    <row r="15" spans="1:23" ht="21.6" thickTop="1" thickBot="1" x14ac:dyDescent="0.35">
      <c r="A15" s="9"/>
      <c r="B15" s="47" t="s">
        <v>6</v>
      </c>
      <c r="C15" s="48"/>
      <c r="D15" s="3">
        <f>IF(D8="", "", D9-D14)</f>
        <v>0</v>
      </c>
      <c r="E15" s="9"/>
      <c r="F15" s="12">
        <f>D9-D14</f>
        <v>0</v>
      </c>
      <c r="G15" s="43"/>
      <c r="H15" s="26"/>
      <c r="I15" s="26"/>
      <c r="J15" s="26"/>
      <c r="K15" s="26"/>
      <c r="L15" s="26"/>
      <c r="M15" s="26"/>
      <c r="N15" s="26"/>
      <c r="O15" s="26"/>
      <c r="P15" s="26"/>
      <c r="Q15" s="26"/>
    </row>
    <row r="16" spans="1:23" ht="21.6" thickTop="1" thickBot="1" x14ac:dyDescent="0.35">
      <c r="A16" s="9"/>
      <c r="B16" s="5"/>
      <c r="C16" s="5"/>
      <c r="D16" s="5"/>
      <c r="E16" s="9"/>
      <c r="G16" s="43"/>
      <c r="H16" s="26"/>
      <c r="I16" s="26"/>
      <c r="J16" s="26"/>
      <c r="K16" s="26"/>
      <c r="L16" s="26"/>
      <c r="M16" s="26"/>
      <c r="N16" s="26"/>
      <c r="O16" s="26"/>
      <c r="P16" s="26"/>
      <c r="Q16" s="26"/>
    </row>
    <row r="17" spans="1:17" ht="25.8" thickTop="1" thickBot="1" x14ac:dyDescent="0.35">
      <c r="A17" s="9"/>
      <c r="B17" s="49" t="s">
        <v>16</v>
      </c>
      <c r="C17" s="49"/>
      <c r="D17" s="49"/>
      <c r="E17" s="9"/>
      <c r="G17" s="44" t="s">
        <v>24</v>
      </c>
      <c r="H17" s="19"/>
      <c r="I17" s="20" t="s">
        <v>27</v>
      </c>
      <c r="J17" s="19"/>
      <c r="K17" s="31">
        <f>D26-C27</f>
        <v>283930.80501608696</v>
      </c>
      <c r="L17" s="26"/>
      <c r="M17" s="26"/>
      <c r="N17" s="26"/>
      <c r="O17" s="26"/>
      <c r="P17" s="26"/>
      <c r="Q17" s="26"/>
    </row>
    <row r="18" spans="1:17" ht="18.899999999999999" customHeight="1" thickTop="1" thickBot="1" x14ac:dyDescent="0.35">
      <c r="A18" s="9"/>
      <c r="B18" s="50" t="s">
        <v>11</v>
      </c>
      <c r="C18" s="50"/>
      <c r="D18" s="10">
        <v>450000</v>
      </c>
      <c r="E18" s="9"/>
      <c r="G18" s="43"/>
      <c r="H18" s="24"/>
      <c r="I18" s="19"/>
      <c r="J18" s="19"/>
      <c r="K18" s="26"/>
      <c r="L18" s="26"/>
      <c r="M18" s="26"/>
      <c r="N18" s="26"/>
      <c r="O18" s="26"/>
      <c r="P18" s="26"/>
      <c r="Q18" s="26"/>
    </row>
    <row r="19" spans="1:17" ht="18.899999999999999" customHeight="1" thickTop="1" thickBot="1" x14ac:dyDescent="0.4">
      <c r="A19" s="9"/>
      <c r="B19" s="50" t="s">
        <v>14</v>
      </c>
      <c r="C19" s="50"/>
      <c r="D19" s="10">
        <v>50000</v>
      </c>
      <c r="E19" s="9"/>
      <c r="F19" s="18"/>
      <c r="G19" s="44" t="s">
        <v>24</v>
      </c>
      <c r="H19" s="21" t="s">
        <v>32</v>
      </c>
      <c r="I19" s="20"/>
      <c r="J19" s="22"/>
      <c r="K19" s="31">
        <f>D26*D23</f>
        <v>73516.900609839722</v>
      </c>
      <c r="L19" s="26"/>
      <c r="M19" s="26"/>
      <c r="N19" s="26"/>
      <c r="O19" s="26"/>
      <c r="P19" s="26"/>
      <c r="Q19" s="26"/>
    </row>
    <row r="20" spans="1:17" ht="18.899999999999999" customHeight="1" thickTop="1" thickBot="1" x14ac:dyDescent="0.35">
      <c r="A20" s="9"/>
      <c r="B20" s="50" t="s">
        <v>0</v>
      </c>
      <c r="C20" s="50"/>
      <c r="D20" s="4">
        <f>D18+D19</f>
        <v>500000</v>
      </c>
      <c r="E20" s="9"/>
      <c r="F20" s="12"/>
      <c r="G20" s="43"/>
      <c r="H20" s="26"/>
      <c r="I20" s="26"/>
      <c r="J20" s="26"/>
      <c r="K20" s="26"/>
      <c r="L20" s="26"/>
      <c r="M20" s="26"/>
      <c r="N20" s="26"/>
      <c r="O20" s="26"/>
      <c r="P20" s="26"/>
      <c r="Q20" s="26"/>
    </row>
    <row r="21" spans="1:17" ht="18.899999999999999" customHeight="1" thickTop="1" thickBot="1" x14ac:dyDescent="0.35">
      <c r="A21" s="9"/>
      <c r="B21" s="50" t="s">
        <v>1</v>
      </c>
      <c r="C21" s="50"/>
      <c r="D21" s="10">
        <v>50000</v>
      </c>
      <c r="E21" s="9"/>
      <c r="G21" s="43"/>
      <c r="H21" s="26"/>
      <c r="I21" s="26"/>
      <c r="J21" s="26"/>
      <c r="K21" s="26"/>
      <c r="L21" s="26"/>
      <c r="M21" s="26"/>
      <c r="N21" s="26"/>
      <c r="O21" s="26"/>
      <c r="P21" s="26"/>
      <c r="Q21" s="26"/>
    </row>
    <row r="22" spans="1:17" ht="18.899999999999999" customHeight="1" thickTop="1" thickBot="1" x14ac:dyDescent="0.45">
      <c r="A22" s="9"/>
      <c r="B22" s="50" t="s">
        <v>2</v>
      </c>
      <c r="C22" s="50"/>
      <c r="D22" s="11">
        <v>10</v>
      </c>
      <c r="E22" s="9"/>
      <c r="G22" s="43"/>
      <c r="H22" s="25" t="s">
        <v>29</v>
      </c>
      <c r="I22" s="26"/>
      <c r="J22" s="26"/>
      <c r="K22" s="26"/>
      <c r="L22" s="26"/>
      <c r="M22" s="26"/>
      <c r="N22" s="26"/>
      <c r="O22" s="26"/>
      <c r="P22" s="26"/>
      <c r="Q22" s="26"/>
    </row>
    <row r="23" spans="1:17" ht="18.899999999999999" customHeight="1" thickTop="1" thickBot="1" x14ac:dyDescent="0.45">
      <c r="A23" s="9"/>
      <c r="B23" s="55" t="s">
        <v>10</v>
      </c>
      <c r="C23" s="55"/>
      <c r="D23" s="6">
        <f>IF(D20="","",1-(D21/D20)^(1/D22))</f>
        <v>0.20567176527571851</v>
      </c>
      <c r="E23" s="9"/>
      <c r="F23" s="12">
        <f>(D20-D21)/D22</f>
        <v>45000</v>
      </c>
      <c r="G23" s="45"/>
      <c r="H23" s="25" t="s">
        <v>30</v>
      </c>
      <c r="I23" s="32"/>
      <c r="J23" s="26"/>
      <c r="K23" s="26"/>
      <c r="L23" s="26"/>
      <c r="M23" s="26"/>
      <c r="N23" s="26"/>
      <c r="O23" s="26"/>
      <c r="P23" s="26"/>
      <c r="Q23" s="26"/>
    </row>
    <row r="24" spans="1:17" ht="24" thickTop="1" thickBot="1" x14ac:dyDescent="0.35">
      <c r="A24" s="9"/>
      <c r="B24" s="56" t="s">
        <v>15</v>
      </c>
      <c r="C24" s="56"/>
      <c r="D24" s="56"/>
      <c r="E24" s="9"/>
      <c r="G24" s="45"/>
      <c r="H24" s="26"/>
      <c r="I24" s="26"/>
      <c r="J24" s="26"/>
      <c r="K24" s="26"/>
      <c r="L24" s="26"/>
      <c r="M24" s="26"/>
      <c r="N24" s="26"/>
      <c r="O24" s="26"/>
      <c r="P24" s="26"/>
      <c r="Q24" s="26"/>
    </row>
    <row r="25" spans="1:17" ht="22.2" thickTop="1" thickBot="1" x14ac:dyDescent="0.35">
      <c r="A25" s="9"/>
      <c r="B25" s="7" t="s">
        <v>7</v>
      </c>
      <c r="C25" s="7" t="s">
        <v>18</v>
      </c>
      <c r="D25" s="7" t="s">
        <v>3</v>
      </c>
      <c r="E25" s="9"/>
      <c r="F25" s="15">
        <f>SUM(C26:C35)</f>
        <v>404999.99999999994</v>
      </c>
      <c r="G25" s="46" t="s">
        <v>24</v>
      </c>
      <c r="H25" s="30"/>
      <c r="I25" s="27" t="s">
        <v>33</v>
      </c>
      <c r="J25" s="30"/>
      <c r="K25" s="35">
        <f>D27-C28</f>
        <v>225534.25513227252</v>
      </c>
      <c r="L25" s="30"/>
      <c r="M25" s="26"/>
      <c r="N25" s="26"/>
      <c r="O25" s="26"/>
      <c r="P25" s="26"/>
      <c r="Q25" s="26"/>
    </row>
    <row r="26" spans="1:17" ht="21.6" thickTop="1" thickBot="1" x14ac:dyDescent="0.35">
      <c r="A26" s="9"/>
      <c r="B26" s="2">
        <v>1</v>
      </c>
      <c r="C26" s="8">
        <f>D18*D23</f>
        <v>92552.294374073332</v>
      </c>
      <c r="D26" s="8">
        <f>D18-C26</f>
        <v>357447.70562592667</v>
      </c>
      <c r="E26" s="9"/>
      <c r="F26" s="15"/>
      <c r="G26" s="43"/>
      <c r="H26" s="30"/>
      <c r="I26" s="30"/>
      <c r="J26" s="30"/>
      <c r="K26" s="30"/>
      <c r="L26" s="30"/>
      <c r="M26" s="26"/>
      <c r="N26" s="26"/>
      <c r="O26" s="26"/>
      <c r="P26" s="26"/>
      <c r="Q26" s="26"/>
    </row>
    <row r="27" spans="1:17" ht="21.6" thickTop="1" thickBot="1" x14ac:dyDescent="0.35">
      <c r="A27" s="9"/>
      <c r="B27" s="2">
        <v>2</v>
      </c>
      <c r="C27" s="8">
        <f>$D26*$D$23</f>
        <v>73516.900609839722</v>
      </c>
      <c r="D27" s="8">
        <f>$D26-$C27</f>
        <v>283930.80501608696</v>
      </c>
      <c r="E27" s="9"/>
      <c r="F27" s="15"/>
      <c r="G27" s="43"/>
      <c r="H27" s="30"/>
      <c r="I27" s="30"/>
      <c r="J27" s="30"/>
      <c r="K27" s="30"/>
      <c r="L27" s="30"/>
      <c r="M27" s="26"/>
      <c r="N27" s="26"/>
      <c r="O27" s="26"/>
      <c r="P27" s="26"/>
      <c r="Q27" s="26"/>
    </row>
    <row r="28" spans="1:17" ht="22.2" thickTop="1" thickBot="1" x14ac:dyDescent="0.35">
      <c r="A28" s="9"/>
      <c r="B28" s="2">
        <v>3</v>
      </c>
      <c r="C28" s="8">
        <f t="shared" ref="C28" si="0">$D27*$D$23</f>
        <v>58396.549883814434</v>
      </c>
      <c r="D28" s="8">
        <f t="shared" ref="D28" si="1">$D27-$C28</f>
        <v>225534.25513227252</v>
      </c>
      <c r="E28" s="9"/>
      <c r="F28" s="15"/>
      <c r="G28" s="44" t="s">
        <v>24</v>
      </c>
      <c r="H28" s="27" t="s">
        <v>67</v>
      </c>
      <c r="I28" s="30"/>
      <c r="J28" s="30"/>
      <c r="K28" s="35">
        <f>D27*D23</f>
        <v>58396.549883814434</v>
      </c>
      <c r="L28" s="30"/>
      <c r="M28" s="26"/>
      <c r="N28" s="26"/>
      <c r="O28" s="26"/>
      <c r="P28" s="26"/>
      <c r="Q28" s="26"/>
    </row>
    <row r="29" spans="1:17" ht="21.6" thickTop="1" thickBot="1" x14ac:dyDescent="0.35">
      <c r="A29" s="9"/>
      <c r="B29" s="2">
        <v>4</v>
      </c>
      <c r="C29" s="8">
        <f t="shared" ref="C29:C35" si="2">$D28*$D$23</f>
        <v>46386.028383198769</v>
      </c>
      <c r="D29" s="8">
        <f t="shared" ref="D29:D35" si="3">$D28-$C29</f>
        <v>179148.22674907374</v>
      </c>
      <c r="E29" s="9"/>
      <c r="F29" s="15"/>
      <c r="G29" s="43"/>
      <c r="H29" s="30"/>
      <c r="I29" s="30"/>
      <c r="J29" s="30"/>
      <c r="K29" s="30"/>
      <c r="L29" s="30"/>
      <c r="M29" s="26"/>
      <c r="N29" s="26"/>
      <c r="O29" s="26"/>
      <c r="P29" s="26"/>
      <c r="Q29" s="26"/>
    </row>
    <row r="30" spans="1:17" ht="21.6" thickTop="1" thickBot="1" x14ac:dyDescent="0.35">
      <c r="A30" s="9"/>
      <c r="B30" s="2">
        <v>5</v>
      </c>
      <c r="C30" s="8">
        <f t="shared" si="2"/>
        <v>36845.732041496689</v>
      </c>
      <c r="D30" s="8">
        <f t="shared" si="3"/>
        <v>142302.49470757705</v>
      </c>
      <c r="E30" s="9"/>
      <c r="F30" s="15"/>
      <c r="G30" s="41"/>
      <c r="H30" s="34"/>
      <c r="I30" s="34"/>
      <c r="J30" s="34"/>
      <c r="K30" s="34"/>
      <c r="L30" s="34"/>
      <c r="M30" s="34"/>
      <c r="N30" s="34"/>
      <c r="O30" s="34"/>
      <c r="P30" s="34"/>
      <c r="Q30" s="34"/>
    </row>
    <row r="31" spans="1:17" ht="22.2" thickTop="1" thickBot="1" x14ac:dyDescent="0.35">
      <c r="A31" s="9"/>
      <c r="B31" s="2">
        <v>6</v>
      </c>
      <c r="C31" s="8">
        <f t="shared" si="2"/>
        <v>29267.605289645962</v>
      </c>
      <c r="D31" s="8">
        <f t="shared" si="3"/>
        <v>113034.88941793109</v>
      </c>
      <c r="E31" s="9"/>
      <c r="F31" s="12"/>
      <c r="G31" s="41"/>
      <c r="H31" s="33" t="s">
        <v>53</v>
      </c>
      <c r="I31" s="34"/>
      <c r="J31" s="34"/>
      <c r="K31" s="34"/>
      <c r="L31" s="34"/>
      <c r="M31" s="34"/>
      <c r="N31" s="34"/>
      <c r="O31" s="34"/>
      <c r="P31" s="34"/>
      <c r="Q31" s="34"/>
    </row>
    <row r="32" spans="1:17" ht="21.6" thickTop="1" thickBot="1" x14ac:dyDescent="0.35">
      <c r="A32" s="9"/>
      <c r="B32" s="2">
        <v>7</v>
      </c>
      <c r="C32" s="8">
        <f t="shared" si="2"/>
        <v>23248.08524433152</v>
      </c>
      <c r="D32" s="8">
        <f t="shared" si="3"/>
        <v>89786.804173599565</v>
      </c>
      <c r="E32" s="9"/>
      <c r="F32" s="12"/>
      <c r="G32" s="41"/>
      <c r="H32" s="34"/>
      <c r="I32" s="34"/>
      <c r="J32" s="34"/>
      <c r="K32" s="34"/>
      <c r="L32" s="34"/>
      <c r="M32" s="34"/>
      <c r="N32" s="34"/>
      <c r="O32" s="34"/>
      <c r="P32" s="34"/>
      <c r="Q32" s="34"/>
    </row>
    <row r="33" spans="1:17" ht="22.2" thickTop="1" thickBot="1" x14ac:dyDescent="0.35">
      <c r="A33" s="9"/>
      <c r="B33" s="2">
        <v>8</v>
      </c>
      <c r="C33" s="8">
        <f t="shared" si="2"/>
        <v>18466.610512849471</v>
      </c>
      <c r="D33" s="8">
        <f t="shared" si="3"/>
        <v>71320.193660750097</v>
      </c>
      <c r="E33" s="9"/>
      <c r="F33" s="12"/>
      <c r="G33" s="42" t="s">
        <v>24</v>
      </c>
      <c r="H33" s="27" t="s">
        <v>69</v>
      </c>
      <c r="I33" s="27"/>
      <c r="J33" s="27"/>
      <c r="K33" s="36">
        <f>$D28-$C29</f>
        <v>179148.22674907374</v>
      </c>
      <c r="L33" s="34"/>
      <c r="M33" s="34"/>
      <c r="N33" s="34"/>
      <c r="O33" s="34"/>
      <c r="P33" s="34"/>
      <c r="Q33" s="34"/>
    </row>
    <row r="34" spans="1:17" ht="21.6" thickTop="1" thickBot="1" x14ac:dyDescent="0.35">
      <c r="A34" s="9"/>
      <c r="B34" s="2">
        <v>9</v>
      </c>
      <c r="C34" s="8">
        <f t="shared" si="2"/>
        <v>14668.550130012582</v>
      </c>
      <c r="D34" s="8">
        <f t="shared" si="3"/>
        <v>56651.643530737514</v>
      </c>
      <c r="E34" s="9"/>
      <c r="F34" s="12"/>
      <c r="G34" s="41"/>
      <c r="H34" s="27"/>
      <c r="I34" s="27"/>
      <c r="J34" s="27"/>
      <c r="K34" s="34"/>
      <c r="L34" s="34"/>
      <c r="M34" s="34"/>
      <c r="N34" s="34"/>
      <c r="O34" s="34"/>
      <c r="P34" s="34"/>
      <c r="Q34" s="34"/>
    </row>
    <row r="35" spans="1:17" ht="22.2" thickTop="1" thickBot="1" x14ac:dyDescent="0.35">
      <c r="A35" s="9"/>
      <c r="B35" s="2">
        <v>10</v>
      </c>
      <c r="C35" s="8">
        <f t="shared" si="2"/>
        <v>11651.643530737523</v>
      </c>
      <c r="D35" s="8">
        <f t="shared" si="3"/>
        <v>44999.999999999993</v>
      </c>
      <c r="E35" s="9"/>
      <c r="F35" s="12"/>
      <c r="G35" s="42" t="s">
        <v>24</v>
      </c>
      <c r="H35" s="27" t="s">
        <v>66</v>
      </c>
      <c r="I35" s="27"/>
      <c r="J35" s="27"/>
      <c r="K35" s="37">
        <f>$D28*$D$23</f>
        <v>46386.028383198769</v>
      </c>
      <c r="L35" s="34"/>
      <c r="M35" s="34"/>
      <c r="N35" s="34"/>
      <c r="O35" s="34"/>
      <c r="P35" s="34"/>
      <c r="Q35" s="34"/>
    </row>
    <row r="36" spans="1:17" ht="21.6" thickTop="1" thickBot="1" x14ac:dyDescent="0.35">
      <c r="A36" s="9"/>
      <c r="B36" s="2"/>
      <c r="C36" s="8" t="str">
        <f t="shared" ref="C36:C43" si="4">IFERROR(IF(D36&gt;$D$21, (D36*$D$23), ""),"")</f>
        <v/>
      </c>
      <c r="D36" s="8"/>
      <c r="E36" s="9"/>
      <c r="F36" s="12"/>
      <c r="G36" s="41"/>
      <c r="H36" s="34"/>
      <c r="I36" s="34"/>
      <c r="J36" s="34"/>
      <c r="K36" s="34"/>
      <c r="L36" s="34"/>
      <c r="M36" s="34"/>
      <c r="N36" s="34"/>
      <c r="O36" s="34"/>
      <c r="P36" s="34"/>
      <c r="Q36" s="34"/>
    </row>
    <row r="37" spans="1:17" ht="21.6" thickTop="1" thickBot="1" x14ac:dyDescent="0.35">
      <c r="A37" s="9"/>
      <c r="B37" s="2"/>
      <c r="C37" s="8" t="str">
        <f t="shared" si="4"/>
        <v/>
      </c>
      <c r="D37" s="8" t="str">
        <f>IFERROR(#REF!-#REF!, "")</f>
        <v/>
      </c>
      <c r="E37" s="9"/>
      <c r="F37" s="12"/>
      <c r="G37" s="41"/>
      <c r="H37" s="34"/>
      <c r="I37" s="34"/>
      <c r="J37" s="34"/>
      <c r="K37" s="34"/>
      <c r="L37" s="34"/>
      <c r="M37" s="34"/>
      <c r="N37" s="34"/>
      <c r="O37" s="34"/>
      <c r="P37" s="34"/>
      <c r="Q37" s="34"/>
    </row>
    <row r="38" spans="1:17" ht="22.2" thickTop="1" thickBot="1" x14ac:dyDescent="0.35">
      <c r="A38" s="9"/>
      <c r="B38" s="2"/>
      <c r="C38" s="8" t="str">
        <f t="shared" si="4"/>
        <v/>
      </c>
      <c r="D38" s="8" t="str">
        <f t="shared" ref="D38:D43" si="5">IFERROR(D37-C37, "")</f>
        <v/>
      </c>
      <c r="E38" s="9"/>
      <c r="F38" s="12"/>
      <c r="G38" s="41"/>
      <c r="H38" s="33" t="s">
        <v>54</v>
      </c>
      <c r="I38" s="34"/>
      <c r="J38" s="34"/>
      <c r="K38" s="34"/>
      <c r="L38" s="34"/>
      <c r="M38" s="34"/>
      <c r="N38" s="34"/>
      <c r="O38" s="34"/>
      <c r="P38" s="34"/>
      <c r="Q38" s="34"/>
    </row>
    <row r="39" spans="1:17" ht="21.6" thickTop="1" thickBot="1" x14ac:dyDescent="0.35">
      <c r="A39" s="9"/>
      <c r="B39" s="2"/>
      <c r="C39" s="8" t="str">
        <f t="shared" si="4"/>
        <v/>
      </c>
      <c r="D39" s="8" t="str">
        <f t="shared" si="5"/>
        <v/>
      </c>
      <c r="E39" s="9"/>
      <c r="G39" s="43"/>
      <c r="H39" s="34"/>
      <c r="I39" s="34"/>
      <c r="J39" s="34"/>
      <c r="K39" s="34"/>
      <c r="L39" s="34"/>
      <c r="M39" s="34"/>
      <c r="N39" s="34"/>
      <c r="O39" s="34"/>
      <c r="P39" s="34"/>
      <c r="Q39" s="34"/>
    </row>
    <row r="40" spans="1:17" ht="22.2" thickTop="1" thickBot="1" x14ac:dyDescent="0.35">
      <c r="A40" s="9"/>
      <c r="B40" s="2"/>
      <c r="C40" s="8" t="str">
        <f t="shared" si="4"/>
        <v/>
      </c>
      <c r="D40" s="8" t="str">
        <f t="shared" si="5"/>
        <v/>
      </c>
      <c r="E40" s="9"/>
      <c r="G40" s="44" t="s">
        <v>24</v>
      </c>
      <c r="H40" s="27" t="s">
        <v>70</v>
      </c>
      <c r="I40" s="27"/>
      <c r="J40" s="27"/>
      <c r="K40" s="31">
        <f>$D29-$C30</f>
        <v>142302.49470757705</v>
      </c>
      <c r="L40" s="34"/>
      <c r="M40" s="34"/>
      <c r="N40" s="34"/>
      <c r="O40" s="34"/>
      <c r="P40" s="34"/>
      <c r="Q40" s="34"/>
    </row>
    <row r="41" spans="1:17" ht="21.6" thickTop="1" thickBot="1" x14ac:dyDescent="0.35">
      <c r="A41" s="9"/>
      <c r="B41" s="2"/>
      <c r="C41" s="8" t="str">
        <f t="shared" si="4"/>
        <v/>
      </c>
      <c r="D41" s="8" t="str">
        <f>IFERROR(#REF!-#REF!, "")</f>
        <v/>
      </c>
      <c r="E41" s="9"/>
      <c r="G41" s="43"/>
      <c r="H41" s="27"/>
      <c r="I41" s="27"/>
      <c r="J41" s="27"/>
      <c r="K41" s="34"/>
      <c r="L41" s="34"/>
      <c r="M41" s="34"/>
      <c r="N41" s="34"/>
      <c r="O41" s="34"/>
      <c r="P41" s="34"/>
      <c r="Q41" s="34"/>
    </row>
    <row r="42" spans="1:17" ht="22.2" thickTop="1" thickBot="1" x14ac:dyDescent="0.35">
      <c r="A42" s="9"/>
      <c r="B42" s="2"/>
      <c r="C42" s="8" t="str">
        <f t="shared" si="4"/>
        <v/>
      </c>
      <c r="D42" s="8" t="str">
        <f t="shared" si="5"/>
        <v/>
      </c>
      <c r="E42" s="9"/>
      <c r="G42" s="44" t="s">
        <v>24</v>
      </c>
      <c r="H42" s="27" t="s">
        <v>65</v>
      </c>
      <c r="I42" s="27"/>
      <c r="J42" s="27"/>
      <c r="K42" s="38">
        <f>$D29*$D$23</f>
        <v>36845.732041496689</v>
      </c>
      <c r="L42" s="34"/>
      <c r="M42" s="34"/>
      <c r="N42" s="34"/>
      <c r="O42" s="34"/>
      <c r="P42" s="34"/>
      <c r="Q42" s="34"/>
    </row>
    <row r="43" spans="1:17" ht="21.6" thickTop="1" thickBot="1" x14ac:dyDescent="0.35">
      <c r="A43" s="9"/>
      <c r="B43" s="2"/>
      <c r="C43" s="8" t="str">
        <f t="shared" si="4"/>
        <v/>
      </c>
      <c r="D43" s="8" t="str">
        <f t="shared" si="5"/>
        <v/>
      </c>
      <c r="E43" s="9"/>
      <c r="G43" s="43"/>
      <c r="H43" s="34"/>
      <c r="I43" s="34"/>
      <c r="J43" s="34"/>
      <c r="K43" s="34"/>
      <c r="L43" s="34"/>
      <c r="M43" s="34"/>
      <c r="N43" s="34"/>
      <c r="O43" s="34"/>
      <c r="P43" s="34"/>
      <c r="Q43" s="34"/>
    </row>
    <row r="44" spans="1:17" ht="21.6" thickTop="1" x14ac:dyDescent="0.3">
      <c r="A44" s="9"/>
      <c r="B44" s="9"/>
      <c r="C44" s="9"/>
      <c r="D44" s="9"/>
      <c r="E44" s="9"/>
      <c r="F44" s="23"/>
      <c r="G44" s="16"/>
      <c r="H44" s="33"/>
      <c r="I44" s="33"/>
      <c r="J44" s="33"/>
      <c r="K44" s="33"/>
      <c r="L44" s="34"/>
      <c r="M44" s="34"/>
      <c r="N44" s="34"/>
      <c r="O44" s="34"/>
      <c r="P44" s="34"/>
      <c r="Q44" s="34"/>
    </row>
    <row r="45" spans="1:17" ht="21" x14ac:dyDescent="0.3">
      <c r="F45" s="23"/>
      <c r="G45" s="16"/>
      <c r="H45" s="33" t="s">
        <v>59</v>
      </c>
      <c r="I45" s="33"/>
      <c r="J45" s="33"/>
      <c r="K45" s="33"/>
      <c r="L45" s="34"/>
      <c r="M45" s="34"/>
      <c r="N45" s="34"/>
      <c r="O45" s="34"/>
      <c r="P45" s="34"/>
      <c r="Q45" s="34"/>
    </row>
    <row r="46" spans="1:17" ht="21" x14ac:dyDescent="0.3">
      <c r="F46" s="23"/>
      <c r="G46" s="16"/>
      <c r="H46" s="33"/>
      <c r="I46" s="33"/>
      <c r="J46" s="33"/>
      <c r="K46" s="33"/>
      <c r="L46" s="34"/>
      <c r="M46" s="34"/>
      <c r="N46" s="34"/>
      <c r="O46" s="34"/>
      <c r="P46" s="34"/>
      <c r="Q46" s="34"/>
    </row>
    <row r="47" spans="1:17" ht="21" x14ac:dyDescent="0.3">
      <c r="F47" s="23"/>
      <c r="G47" s="44" t="s">
        <v>24</v>
      </c>
      <c r="H47" s="27" t="s">
        <v>68</v>
      </c>
      <c r="I47" s="27"/>
      <c r="J47" s="27"/>
      <c r="K47" s="39">
        <f>$D30-$C31</f>
        <v>113034.88941793109</v>
      </c>
      <c r="L47" s="34"/>
      <c r="M47" s="34"/>
      <c r="N47" s="34"/>
      <c r="O47" s="34"/>
      <c r="P47" s="34"/>
      <c r="Q47" s="34"/>
    </row>
    <row r="48" spans="1:17" ht="21" x14ac:dyDescent="0.3">
      <c r="F48" s="23"/>
      <c r="G48" s="16"/>
      <c r="H48" s="27"/>
      <c r="I48" s="27"/>
      <c r="J48" s="27"/>
      <c r="K48" s="33"/>
      <c r="L48" s="34"/>
      <c r="M48" s="34"/>
      <c r="N48" s="34"/>
      <c r="O48" s="34"/>
      <c r="P48" s="34"/>
      <c r="Q48" s="34"/>
    </row>
    <row r="49" spans="6:17" ht="21" x14ac:dyDescent="0.3">
      <c r="F49" s="23"/>
      <c r="G49" s="44" t="s">
        <v>24</v>
      </c>
      <c r="H49" s="27" t="s">
        <v>64</v>
      </c>
      <c r="I49" s="27"/>
      <c r="J49" s="27"/>
      <c r="K49" s="40">
        <f>$D30*$D$23</f>
        <v>29267.605289645962</v>
      </c>
      <c r="L49" s="34"/>
      <c r="M49" s="34"/>
      <c r="N49" s="34"/>
      <c r="O49" s="34"/>
      <c r="P49" s="34"/>
      <c r="Q49" s="34"/>
    </row>
    <row r="50" spans="6:17" ht="21" x14ac:dyDescent="0.3">
      <c r="F50" s="23"/>
      <c r="G50" s="16"/>
      <c r="H50" s="33"/>
      <c r="I50" s="33"/>
      <c r="J50" s="33"/>
      <c r="K50" s="33"/>
      <c r="L50" s="34"/>
      <c r="M50" s="34"/>
      <c r="N50" s="34"/>
      <c r="O50" s="34"/>
      <c r="P50" s="34"/>
      <c r="Q50" s="34"/>
    </row>
    <row r="51" spans="6:17" ht="21" x14ac:dyDescent="0.3">
      <c r="F51" s="23"/>
      <c r="G51" s="16"/>
      <c r="H51" s="33"/>
      <c r="I51" s="33"/>
      <c r="J51" s="33"/>
      <c r="K51" s="33"/>
      <c r="L51" s="34"/>
      <c r="M51" s="34"/>
      <c r="N51" s="34"/>
      <c r="O51" s="34"/>
      <c r="P51" s="34"/>
      <c r="Q51" s="34"/>
    </row>
    <row r="52" spans="6:17" ht="21" x14ac:dyDescent="0.3">
      <c r="F52" s="23"/>
      <c r="G52" s="16"/>
      <c r="H52" s="33" t="s">
        <v>58</v>
      </c>
      <c r="I52" s="33"/>
      <c r="J52" s="33"/>
      <c r="K52" s="33"/>
      <c r="L52" s="34"/>
      <c r="M52" s="34"/>
      <c r="N52" s="34"/>
      <c r="O52" s="34"/>
      <c r="P52" s="34"/>
      <c r="Q52" s="34"/>
    </row>
    <row r="53" spans="6:17" ht="21" x14ac:dyDescent="0.3">
      <c r="F53" s="23"/>
      <c r="G53" s="16"/>
      <c r="H53" s="33"/>
      <c r="I53" s="33"/>
      <c r="J53" s="33"/>
      <c r="K53" s="33"/>
      <c r="L53" s="34"/>
      <c r="M53" s="34"/>
      <c r="N53" s="34"/>
      <c r="O53" s="34"/>
      <c r="P53" s="34"/>
      <c r="Q53" s="34"/>
    </row>
    <row r="54" spans="6:17" ht="21" x14ac:dyDescent="0.3">
      <c r="F54" s="23"/>
      <c r="G54" s="44" t="s">
        <v>24</v>
      </c>
      <c r="H54" s="27" t="s">
        <v>71</v>
      </c>
      <c r="I54" s="27"/>
      <c r="J54" s="27"/>
      <c r="K54" s="39">
        <f>$D31-$C32</f>
        <v>89786.804173599565</v>
      </c>
      <c r="L54" s="34"/>
      <c r="M54" s="34"/>
      <c r="N54" s="34"/>
      <c r="O54" s="34"/>
      <c r="P54" s="34"/>
      <c r="Q54" s="34"/>
    </row>
    <row r="55" spans="6:17" ht="21" x14ac:dyDescent="0.3">
      <c r="F55" s="23"/>
      <c r="G55" s="16"/>
      <c r="H55" s="27"/>
      <c r="I55" s="27"/>
      <c r="J55" s="27"/>
      <c r="K55" s="33"/>
      <c r="L55" s="34"/>
      <c r="M55" s="34"/>
      <c r="N55" s="34"/>
      <c r="O55" s="34"/>
      <c r="P55" s="34"/>
      <c r="Q55" s="34"/>
    </row>
    <row r="56" spans="6:17" ht="21" x14ac:dyDescent="0.3">
      <c r="F56" s="23"/>
      <c r="G56" s="44" t="s">
        <v>24</v>
      </c>
      <c r="H56" s="27" t="s">
        <v>63</v>
      </c>
      <c r="I56" s="27"/>
      <c r="J56" s="27"/>
      <c r="K56" s="40">
        <f>$D31*$D$23</f>
        <v>23248.08524433152</v>
      </c>
      <c r="L56" s="34"/>
      <c r="M56" s="34"/>
      <c r="N56" s="34"/>
      <c r="O56" s="34"/>
      <c r="P56" s="34"/>
      <c r="Q56" s="34"/>
    </row>
    <row r="57" spans="6:17" ht="21" x14ac:dyDescent="0.3">
      <c r="F57" s="23"/>
      <c r="G57" s="16"/>
      <c r="H57" s="33"/>
      <c r="I57" s="33"/>
      <c r="J57" s="33"/>
      <c r="K57" s="33"/>
      <c r="L57" s="34"/>
      <c r="M57" s="34"/>
      <c r="N57" s="34"/>
      <c r="O57" s="34"/>
      <c r="P57" s="34"/>
      <c r="Q57" s="34"/>
    </row>
    <row r="58" spans="6:17" ht="21" x14ac:dyDescent="0.3">
      <c r="F58" s="23"/>
      <c r="G58" s="16"/>
      <c r="H58" s="33"/>
      <c r="I58" s="33"/>
      <c r="J58" s="33"/>
      <c r="K58" s="33"/>
      <c r="L58" s="34"/>
      <c r="M58" s="34"/>
      <c r="N58" s="34"/>
      <c r="O58" s="34"/>
      <c r="P58" s="34"/>
      <c r="Q58" s="34"/>
    </row>
    <row r="59" spans="6:17" ht="21" x14ac:dyDescent="0.3">
      <c r="F59" s="23"/>
      <c r="G59" s="16"/>
      <c r="H59" s="33" t="s">
        <v>57</v>
      </c>
      <c r="I59" s="33"/>
      <c r="J59" s="33"/>
      <c r="K59" s="33"/>
      <c r="L59" s="34"/>
      <c r="M59" s="34"/>
      <c r="N59" s="34"/>
      <c r="O59" s="34"/>
      <c r="P59" s="34"/>
      <c r="Q59" s="34"/>
    </row>
    <row r="60" spans="6:17" ht="21" x14ac:dyDescent="0.3">
      <c r="F60" s="23"/>
      <c r="G60" s="16"/>
      <c r="H60" s="33"/>
      <c r="I60" s="33"/>
      <c r="J60" s="33"/>
      <c r="K60" s="33"/>
      <c r="L60" s="34"/>
      <c r="M60" s="34"/>
      <c r="N60" s="34"/>
      <c r="O60" s="34"/>
      <c r="P60" s="34"/>
      <c r="Q60" s="34"/>
    </row>
    <row r="61" spans="6:17" ht="21" x14ac:dyDescent="0.3">
      <c r="F61" s="23"/>
      <c r="G61" s="44" t="s">
        <v>24</v>
      </c>
      <c r="H61" s="27" t="s">
        <v>72</v>
      </c>
      <c r="I61" s="27"/>
      <c r="J61" s="27"/>
      <c r="K61" s="39">
        <f>$D32-$C33</f>
        <v>71320.193660750097</v>
      </c>
      <c r="L61" s="34"/>
      <c r="M61" s="34"/>
      <c r="N61" s="34"/>
      <c r="O61" s="34"/>
      <c r="P61" s="34"/>
      <c r="Q61" s="34"/>
    </row>
    <row r="62" spans="6:17" ht="21" x14ac:dyDescent="0.3">
      <c r="F62" s="23"/>
      <c r="G62" s="16"/>
      <c r="H62" s="27"/>
      <c r="I62" s="27"/>
      <c r="J62" s="27"/>
      <c r="K62" s="33"/>
      <c r="L62" s="34"/>
      <c r="M62" s="34"/>
      <c r="N62" s="34"/>
      <c r="O62" s="34"/>
      <c r="P62" s="34"/>
      <c r="Q62" s="34"/>
    </row>
    <row r="63" spans="6:17" ht="21" x14ac:dyDescent="0.3">
      <c r="F63" s="23"/>
      <c r="G63" s="44" t="s">
        <v>24</v>
      </c>
      <c r="H63" s="27" t="s">
        <v>62</v>
      </c>
      <c r="I63" s="27"/>
      <c r="J63" s="27"/>
      <c r="K63" s="40">
        <f>$D32*$D$23</f>
        <v>18466.610512849471</v>
      </c>
      <c r="L63" s="34"/>
      <c r="M63" s="34"/>
      <c r="N63" s="34"/>
      <c r="O63" s="34"/>
      <c r="P63" s="34"/>
      <c r="Q63" s="34"/>
    </row>
    <row r="64" spans="6:17" ht="21" x14ac:dyDescent="0.3">
      <c r="F64" s="23"/>
      <c r="G64" s="16"/>
      <c r="H64" s="33"/>
      <c r="I64" s="33"/>
      <c r="J64" s="33"/>
      <c r="K64" s="33"/>
      <c r="L64" s="34"/>
      <c r="M64" s="34"/>
      <c r="N64" s="34"/>
      <c r="O64" s="34"/>
      <c r="P64" s="34"/>
      <c r="Q64" s="34"/>
    </row>
    <row r="65" spans="6:17" ht="21" x14ac:dyDescent="0.3">
      <c r="F65" s="23"/>
      <c r="G65" s="16"/>
      <c r="H65" s="33"/>
      <c r="I65" s="33"/>
      <c r="J65" s="33"/>
      <c r="K65" s="33"/>
      <c r="L65" s="34"/>
      <c r="M65" s="34"/>
      <c r="N65" s="34"/>
      <c r="O65" s="34"/>
      <c r="P65" s="34"/>
      <c r="Q65" s="34"/>
    </row>
    <row r="66" spans="6:17" ht="21" x14ac:dyDescent="0.3">
      <c r="F66" s="23"/>
      <c r="G66" s="16"/>
      <c r="H66" s="33" t="s">
        <v>56</v>
      </c>
      <c r="I66" s="33"/>
      <c r="J66" s="33"/>
      <c r="K66" s="33"/>
      <c r="L66" s="34"/>
      <c r="M66" s="34"/>
      <c r="N66" s="34"/>
      <c r="O66" s="34"/>
      <c r="P66" s="34"/>
      <c r="Q66" s="34"/>
    </row>
    <row r="67" spans="6:17" ht="21" x14ac:dyDescent="0.3">
      <c r="F67" s="23"/>
      <c r="G67" s="16"/>
      <c r="H67" s="33"/>
      <c r="I67" s="33"/>
      <c r="J67" s="33"/>
      <c r="K67" s="33"/>
      <c r="L67" s="34"/>
      <c r="M67" s="34"/>
      <c r="N67" s="34"/>
      <c r="O67" s="34"/>
      <c r="P67" s="34"/>
      <c r="Q67" s="34"/>
    </row>
    <row r="68" spans="6:17" ht="21" x14ac:dyDescent="0.3">
      <c r="F68" s="23"/>
      <c r="G68" s="44" t="s">
        <v>24</v>
      </c>
      <c r="H68" s="27" t="s">
        <v>73</v>
      </c>
      <c r="I68" s="27"/>
      <c r="J68" s="27"/>
      <c r="K68" s="39">
        <f>$D33-$C34</f>
        <v>56651.643530737514</v>
      </c>
      <c r="L68" s="34"/>
      <c r="M68" s="34"/>
      <c r="N68" s="34"/>
      <c r="O68" s="34"/>
      <c r="P68" s="34"/>
      <c r="Q68" s="34"/>
    </row>
    <row r="69" spans="6:17" ht="21" x14ac:dyDescent="0.3">
      <c r="F69" s="23"/>
      <c r="G69" s="16"/>
      <c r="H69" s="27"/>
      <c r="I69" s="27"/>
      <c r="J69" s="27"/>
      <c r="K69" s="33"/>
      <c r="L69" s="34"/>
      <c r="M69" s="34"/>
      <c r="N69" s="34"/>
      <c r="O69" s="34"/>
      <c r="P69" s="34"/>
      <c r="Q69" s="34"/>
    </row>
    <row r="70" spans="6:17" ht="21" x14ac:dyDescent="0.3">
      <c r="F70" s="23"/>
      <c r="G70" s="44" t="s">
        <v>24</v>
      </c>
      <c r="H70" s="27" t="s">
        <v>61</v>
      </c>
      <c r="I70" s="27"/>
      <c r="J70" s="27"/>
      <c r="K70" s="40">
        <f>$D33*$D$23</f>
        <v>14668.550130012582</v>
      </c>
      <c r="L70" s="34"/>
      <c r="M70" s="34"/>
      <c r="N70" s="34"/>
      <c r="O70" s="34"/>
      <c r="P70" s="34"/>
      <c r="Q70" s="34"/>
    </row>
    <row r="71" spans="6:17" ht="21" x14ac:dyDescent="0.3">
      <c r="F71" s="23"/>
      <c r="G71" s="16"/>
      <c r="H71" s="33"/>
      <c r="I71" s="33"/>
      <c r="J71" s="33"/>
      <c r="K71" s="33"/>
      <c r="L71" s="34"/>
      <c r="M71" s="34"/>
      <c r="N71" s="34"/>
      <c r="O71" s="34"/>
      <c r="P71" s="34"/>
      <c r="Q71" s="34"/>
    </row>
    <row r="72" spans="6:17" ht="21" x14ac:dyDescent="0.3">
      <c r="F72" s="23"/>
      <c r="G72" s="16"/>
      <c r="H72" s="33"/>
      <c r="I72" s="33"/>
      <c r="J72" s="33"/>
      <c r="K72" s="33"/>
      <c r="L72" s="34"/>
      <c r="M72" s="34"/>
      <c r="N72" s="34"/>
      <c r="O72" s="34"/>
      <c r="P72" s="34"/>
      <c r="Q72" s="34"/>
    </row>
    <row r="73" spans="6:17" ht="21" x14ac:dyDescent="0.3">
      <c r="F73" s="23"/>
      <c r="G73" s="16"/>
      <c r="H73" s="33" t="s">
        <v>55</v>
      </c>
      <c r="I73" s="33"/>
      <c r="J73" s="33"/>
      <c r="K73" s="33"/>
      <c r="L73" s="34"/>
      <c r="M73" s="34"/>
      <c r="N73" s="34"/>
      <c r="O73" s="34"/>
      <c r="P73" s="34"/>
      <c r="Q73" s="34"/>
    </row>
    <row r="74" spans="6:17" ht="21" x14ac:dyDescent="0.3">
      <c r="F74" s="23"/>
      <c r="G74" s="16"/>
      <c r="H74" s="33"/>
      <c r="I74" s="33"/>
      <c r="J74" s="33"/>
      <c r="K74" s="33"/>
      <c r="L74" s="34"/>
      <c r="M74" s="34"/>
      <c r="N74" s="34"/>
      <c r="O74" s="34"/>
      <c r="P74" s="34"/>
      <c r="Q74" s="34"/>
    </row>
    <row r="75" spans="6:17" ht="21" x14ac:dyDescent="0.3">
      <c r="G75" s="44" t="s">
        <v>24</v>
      </c>
      <c r="H75" s="27" t="s">
        <v>74</v>
      </c>
      <c r="I75" s="27"/>
      <c r="J75" s="27"/>
      <c r="K75" s="31">
        <f>$D34-$C35</f>
        <v>44999.999999999993</v>
      </c>
      <c r="L75" s="34"/>
      <c r="M75" s="34"/>
      <c r="N75" s="34"/>
      <c r="O75" s="34"/>
      <c r="P75" s="34"/>
      <c r="Q75" s="34"/>
    </row>
    <row r="76" spans="6:17" ht="20.399999999999999" x14ac:dyDescent="0.3">
      <c r="G76" s="43"/>
      <c r="H76" s="27"/>
      <c r="I76" s="27"/>
      <c r="J76" s="27"/>
      <c r="K76" s="34"/>
      <c r="L76" s="34"/>
      <c r="M76" s="34"/>
      <c r="N76" s="34"/>
      <c r="O76" s="34"/>
      <c r="P76" s="34"/>
      <c r="Q76" s="34"/>
    </row>
    <row r="77" spans="6:17" ht="21" x14ac:dyDescent="0.3">
      <c r="G77" s="44" t="s">
        <v>24</v>
      </c>
      <c r="H77" s="27" t="s">
        <v>60</v>
      </c>
      <c r="I77" s="27"/>
      <c r="J77" s="27"/>
      <c r="K77" s="38">
        <f>$D34*$D$23</f>
        <v>11651.643530737523</v>
      </c>
      <c r="L77" s="34"/>
      <c r="M77" s="34"/>
      <c r="N77" s="34"/>
      <c r="O77" s="34"/>
      <c r="P77" s="34"/>
      <c r="Q77" s="34"/>
    </row>
    <row r="78" spans="6:17" x14ac:dyDescent="0.3">
      <c r="G78" s="34"/>
      <c r="H78" s="34"/>
      <c r="I78" s="34"/>
      <c r="J78" s="34"/>
      <c r="K78" s="34"/>
      <c r="L78" s="34"/>
      <c r="M78" s="34"/>
      <c r="N78" s="34"/>
      <c r="O78" s="34"/>
      <c r="P78" s="34"/>
      <c r="Q78" s="34"/>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D67D-9BB2-4B40-A6CD-70111551D809}">
  <dimension ref="A1:Q50"/>
  <sheetViews>
    <sheetView tabSelected="1" topLeftCell="A33" zoomScale="71" zoomScaleNormal="93" workbookViewId="0">
      <selection activeCell="B50" sqref="B50"/>
    </sheetView>
  </sheetViews>
  <sheetFormatPr defaultRowHeight="14.4" x14ac:dyDescent="0.3"/>
  <cols>
    <col min="2" max="2" width="11.77734375" customWidth="1"/>
  </cols>
  <sheetData>
    <row r="1" spans="1:17" ht="18" x14ac:dyDescent="0.35">
      <c r="A1" s="57" t="s">
        <v>34</v>
      </c>
      <c r="B1" s="57"/>
      <c r="C1" s="57"/>
      <c r="D1" s="57"/>
      <c r="E1" s="57"/>
      <c r="F1" s="57"/>
      <c r="G1" s="57"/>
      <c r="H1" s="57"/>
      <c r="I1" s="57"/>
      <c r="J1" s="57"/>
      <c r="K1" s="57"/>
      <c r="L1" s="57"/>
      <c r="M1" s="57"/>
      <c r="N1" s="57"/>
      <c r="O1" s="57"/>
      <c r="P1" s="57"/>
      <c r="Q1" s="57"/>
    </row>
    <row r="2" spans="1:17" ht="18" x14ac:dyDescent="0.35">
      <c r="A2" s="57"/>
      <c r="B2" s="57"/>
      <c r="C2" s="57"/>
      <c r="D2" s="57"/>
      <c r="E2" s="57"/>
      <c r="F2" s="57"/>
      <c r="G2" s="57"/>
      <c r="H2" s="57"/>
      <c r="I2" s="57"/>
      <c r="J2" s="57"/>
      <c r="K2" s="57"/>
      <c r="L2" s="57"/>
      <c r="M2" s="57"/>
      <c r="N2" s="57"/>
      <c r="O2" s="57"/>
      <c r="P2" s="57"/>
      <c r="Q2" s="57"/>
    </row>
    <row r="3" spans="1:17" ht="18" x14ac:dyDescent="0.35">
      <c r="A3" s="58" t="s">
        <v>24</v>
      </c>
      <c r="B3" s="29" t="s">
        <v>44</v>
      </c>
      <c r="C3" s="57"/>
      <c r="D3" s="57"/>
      <c r="E3" s="57"/>
      <c r="F3" s="57"/>
      <c r="G3" s="59" t="s">
        <v>45</v>
      </c>
      <c r="H3" s="57"/>
      <c r="I3" s="57"/>
      <c r="J3" s="57"/>
      <c r="K3" s="57"/>
      <c r="L3" s="57"/>
      <c r="M3" s="57"/>
      <c r="N3" s="57"/>
      <c r="O3" s="57"/>
      <c r="P3" s="57"/>
      <c r="Q3" s="57"/>
    </row>
    <row r="4" spans="1:17" ht="18" x14ac:dyDescent="0.35">
      <c r="A4" s="57"/>
      <c r="B4" s="57"/>
      <c r="C4" s="57"/>
      <c r="D4" s="57"/>
      <c r="E4" s="57"/>
      <c r="F4" s="57"/>
      <c r="G4" s="57"/>
      <c r="H4" s="57"/>
      <c r="I4" s="57"/>
      <c r="J4" s="57"/>
      <c r="K4" s="57"/>
      <c r="L4" s="57"/>
      <c r="M4" s="57"/>
      <c r="N4" s="57"/>
      <c r="O4" s="57"/>
      <c r="P4" s="57"/>
      <c r="Q4" s="57"/>
    </row>
    <row r="5" spans="1:17" ht="18" x14ac:dyDescent="0.35">
      <c r="A5" s="57"/>
      <c r="B5" s="57"/>
      <c r="C5" s="57"/>
      <c r="D5" s="57"/>
      <c r="E5" s="57"/>
      <c r="F5" s="57"/>
      <c r="G5" s="57"/>
      <c r="H5" s="57"/>
      <c r="I5" s="57"/>
      <c r="J5" s="57"/>
      <c r="K5" s="57"/>
      <c r="L5" s="57"/>
      <c r="M5" s="57"/>
      <c r="N5" s="57"/>
      <c r="O5" s="57"/>
      <c r="P5" s="57"/>
      <c r="Q5" s="57"/>
    </row>
    <row r="6" spans="1:17" ht="18" x14ac:dyDescent="0.35">
      <c r="A6" s="57" t="s">
        <v>35</v>
      </c>
      <c r="B6" s="57"/>
      <c r="C6" s="57"/>
      <c r="D6" s="57"/>
      <c r="E6" s="57"/>
      <c r="F6" s="57"/>
      <c r="G6" s="57"/>
      <c r="H6" s="57"/>
      <c r="I6" s="57"/>
      <c r="J6" s="57"/>
      <c r="K6" s="57"/>
      <c r="L6" s="57"/>
      <c r="M6" s="57"/>
      <c r="N6" s="57"/>
      <c r="O6" s="57"/>
      <c r="P6" s="57"/>
      <c r="Q6" s="57"/>
    </row>
    <row r="7" spans="1:17" ht="18" x14ac:dyDescent="0.35">
      <c r="A7" s="57"/>
      <c r="B7" s="57"/>
      <c r="C7" s="57"/>
      <c r="D7" s="57"/>
      <c r="E7" s="57"/>
      <c r="F7" s="57"/>
      <c r="G7" s="57"/>
      <c r="H7" s="57"/>
      <c r="I7" s="57"/>
      <c r="J7" s="57"/>
      <c r="K7" s="57"/>
      <c r="L7" s="57"/>
      <c r="M7" s="57"/>
      <c r="N7" s="57"/>
      <c r="O7" s="57"/>
      <c r="P7" s="57"/>
      <c r="Q7" s="57"/>
    </row>
    <row r="8" spans="1:17" ht="18" x14ac:dyDescent="0.35">
      <c r="A8" s="58" t="s">
        <v>24</v>
      </c>
      <c r="B8" s="29" t="s">
        <v>46</v>
      </c>
      <c r="C8" s="57"/>
      <c r="D8" s="57"/>
      <c r="E8" s="57"/>
      <c r="F8" s="57"/>
      <c r="G8" s="57"/>
      <c r="H8" s="57"/>
      <c r="I8" s="59" t="s">
        <v>47</v>
      </c>
      <c r="J8" s="57"/>
      <c r="K8" s="57"/>
      <c r="L8" s="57"/>
      <c r="M8" s="57"/>
      <c r="N8" s="57"/>
      <c r="O8" s="57"/>
      <c r="P8" s="57"/>
      <c r="Q8" s="57"/>
    </row>
    <row r="9" spans="1:17" ht="18" x14ac:dyDescent="0.35">
      <c r="A9" s="57"/>
      <c r="B9" s="57"/>
      <c r="C9" s="57"/>
      <c r="D9" s="57"/>
      <c r="E9" s="57"/>
      <c r="F9" s="57"/>
      <c r="G9" s="57"/>
      <c r="H9" s="57"/>
      <c r="I9" s="57"/>
      <c r="J9" s="57"/>
      <c r="K9" s="57"/>
      <c r="L9" s="57"/>
      <c r="M9" s="57"/>
      <c r="N9" s="57"/>
      <c r="O9" s="57"/>
      <c r="P9" s="57"/>
      <c r="Q9" s="57"/>
    </row>
    <row r="10" spans="1:17" ht="18" x14ac:dyDescent="0.35">
      <c r="A10" s="57"/>
      <c r="B10" s="57"/>
      <c r="C10" s="57"/>
      <c r="D10" s="57"/>
      <c r="E10" s="57"/>
      <c r="F10" s="57"/>
      <c r="G10" s="57"/>
      <c r="H10" s="57"/>
      <c r="I10" s="57"/>
      <c r="J10" s="57"/>
      <c r="K10" s="57"/>
      <c r="L10" s="57"/>
      <c r="M10" s="57"/>
      <c r="N10" s="57"/>
      <c r="O10" s="57"/>
      <c r="P10" s="57"/>
      <c r="Q10" s="57"/>
    </row>
    <row r="11" spans="1:17" ht="18" x14ac:dyDescent="0.35">
      <c r="A11" s="57" t="s">
        <v>36</v>
      </c>
      <c r="B11" s="57"/>
      <c r="C11" s="57"/>
      <c r="D11" s="57"/>
      <c r="E11" s="57"/>
      <c r="F11" s="57"/>
      <c r="G11" s="57"/>
      <c r="H11" s="57"/>
      <c r="I11" s="57"/>
      <c r="J11" s="57"/>
      <c r="K11" s="57"/>
      <c r="L11" s="57"/>
      <c r="M11" s="57"/>
      <c r="N11" s="57"/>
      <c r="O11" s="57"/>
      <c r="P11" s="57"/>
      <c r="Q11" s="57"/>
    </row>
    <row r="12" spans="1:17" ht="18" x14ac:dyDescent="0.35">
      <c r="A12" s="57"/>
      <c r="B12" s="57"/>
      <c r="C12" s="57"/>
      <c r="D12" s="57"/>
      <c r="E12" s="57"/>
      <c r="F12" s="57"/>
      <c r="G12" s="57"/>
      <c r="H12" s="57"/>
      <c r="I12" s="57"/>
      <c r="J12" s="57"/>
      <c r="K12" s="57"/>
      <c r="L12" s="57"/>
      <c r="M12" s="57"/>
      <c r="N12" s="57"/>
      <c r="O12" s="57"/>
      <c r="P12" s="57"/>
      <c r="Q12" s="57"/>
    </row>
    <row r="13" spans="1:17" ht="18" x14ac:dyDescent="0.35">
      <c r="A13" s="58" t="s">
        <v>24</v>
      </c>
      <c r="B13" s="29" t="s">
        <v>48</v>
      </c>
      <c r="C13" s="57"/>
      <c r="D13" s="57"/>
      <c r="E13" s="57"/>
      <c r="F13" s="57"/>
      <c r="G13" s="57"/>
      <c r="H13" s="57"/>
      <c r="I13" s="57"/>
      <c r="J13" s="57"/>
      <c r="K13" s="57"/>
      <c r="L13" s="57"/>
      <c r="M13" s="57"/>
      <c r="N13" s="57"/>
      <c r="O13" s="57"/>
      <c r="P13" s="57"/>
      <c r="Q13" s="57"/>
    </row>
    <row r="14" spans="1:17" ht="18" x14ac:dyDescent="0.35">
      <c r="A14" s="57"/>
      <c r="B14" s="57"/>
      <c r="C14" s="57"/>
      <c r="D14" s="57"/>
      <c r="E14" s="57"/>
      <c r="F14" s="57"/>
      <c r="G14" s="57"/>
      <c r="H14" s="57"/>
      <c r="I14" s="57"/>
      <c r="J14" s="57"/>
      <c r="K14" s="57"/>
      <c r="L14" s="57"/>
      <c r="M14" s="57"/>
      <c r="N14" s="57"/>
      <c r="O14" s="57"/>
      <c r="P14" s="57"/>
      <c r="Q14" s="57"/>
    </row>
    <row r="15" spans="1:17" ht="18" x14ac:dyDescent="0.35">
      <c r="A15" s="57"/>
      <c r="B15" s="57"/>
      <c r="C15" s="57"/>
      <c r="D15" s="57"/>
      <c r="E15" s="57"/>
      <c r="F15" s="57"/>
      <c r="G15" s="57"/>
      <c r="H15" s="57"/>
      <c r="I15" s="57"/>
      <c r="J15" s="57"/>
      <c r="K15" s="57"/>
      <c r="L15" s="57"/>
      <c r="M15" s="57"/>
      <c r="N15" s="57"/>
      <c r="O15" s="57"/>
      <c r="P15" s="57"/>
      <c r="Q15" s="57"/>
    </row>
    <row r="16" spans="1:17" ht="18" x14ac:dyDescent="0.35">
      <c r="A16" s="57" t="s">
        <v>37</v>
      </c>
      <c r="B16" s="57"/>
      <c r="C16" s="57"/>
      <c r="D16" s="57"/>
      <c r="E16" s="57"/>
      <c r="F16" s="57"/>
      <c r="G16" s="57"/>
      <c r="H16" s="57"/>
      <c r="I16" s="57"/>
      <c r="J16" s="57"/>
      <c r="K16" s="57"/>
      <c r="L16" s="57"/>
      <c r="M16" s="57"/>
      <c r="N16" s="57"/>
      <c r="O16" s="57"/>
      <c r="P16" s="57"/>
      <c r="Q16" s="57"/>
    </row>
    <row r="17" spans="1:17" ht="18" x14ac:dyDescent="0.35">
      <c r="A17" s="57"/>
      <c r="B17" s="57"/>
      <c r="C17" s="57"/>
      <c r="D17" s="57"/>
      <c r="E17" s="57"/>
      <c r="F17" s="57"/>
      <c r="G17" s="57"/>
      <c r="H17" s="57"/>
      <c r="I17" s="57"/>
      <c r="J17" s="57"/>
      <c r="K17" s="57"/>
      <c r="L17" s="57"/>
      <c r="M17" s="57"/>
      <c r="N17" s="57"/>
      <c r="O17" s="57"/>
      <c r="P17" s="57"/>
      <c r="Q17" s="57"/>
    </row>
    <row r="18" spans="1:17" ht="18" x14ac:dyDescent="0.35">
      <c r="A18" s="58" t="s">
        <v>24</v>
      </c>
      <c r="B18" s="29" t="s">
        <v>77</v>
      </c>
      <c r="C18" s="57"/>
      <c r="D18" s="57"/>
      <c r="E18" s="57"/>
      <c r="F18" s="57"/>
      <c r="G18" s="57"/>
      <c r="H18" s="57"/>
      <c r="I18" s="57"/>
      <c r="J18" s="57"/>
      <c r="K18" s="57"/>
      <c r="L18" s="57"/>
      <c r="M18" s="57"/>
      <c r="N18" s="57"/>
      <c r="O18" s="57"/>
      <c r="P18" s="57"/>
      <c r="Q18" s="57"/>
    </row>
    <row r="19" spans="1:17" ht="18" x14ac:dyDescent="0.35">
      <c r="A19" s="57"/>
      <c r="B19" s="57"/>
      <c r="C19" s="57"/>
      <c r="D19" s="57"/>
      <c r="E19" s="57"/>
      <c r="F19" s="57"/>
      <c r="G19" s="57"/>
      <c r="H19" s="57"/>
      <c r="I19" s="57"/>
      <c r="J19" s="57"/>
      <c r="K19" s="57"/>
      <c r="L19" s="57"/>
      <c r="M19" s="57"/>
      <c r="N19" s="57"/>
      <c r="O19" s="57"/>
      <c r="P19" s="57"/>
      <c r="Q19" s="57"/>
    </row>
    <row r="20" spans="1:17" ht="18" x14ac:dyDescent="0.35">
      <c r="A20" s="57"/>
      <c r="B20" s="57"/>
      <c r="C20" s="57"/>
      <c r="D20" s="57"/>
      <c r="E20" s="57"/>
      <c r="F20" s="57"/>
      <c r="G20" s="57"/>
      <c r="H20" s="57"/>
      <c r="I20" s="57"/>
      <c r="J20" s="57"/>
      <c r="K20" s="57"/>
      <c r="L20" s="57"/>
      <c r="M20" s="57"/>
      <c r="N20" s="57"/>
      <c r="O20" s="57"/>
      <c r="P20" s="57"/>
      <c r="Q20" s="57"/>
    </row>
    <row r="21" spans="1:17" ht="18" x14ac:dyDescent="0.35">
      <c r="A21" s="57" t="s">
        <v>38</v>
      </c>
      <c r="B21" s="57"/>
      <c r="C21" s="57"/>
      <c r="D21" s="57"/>
      <c r="E21" s="57"/>
      <c r="F21" s="57"/>
      <c r="G21" s="57"/>
      <c r="H21" s="57"/>
      <c r="I21" s="57"/>
      <c r="J21" s="57"/>
      <c r="K21" s="57"/>
      <c r="L21" s="57"/>
      <c r="M21" s="57"/>
      <c r="N21" s="57"/>
      <c r="O21" s="57"/>
      <c r="P21" s="57"/>
      <c r="Q21" s="57"/>
    </row>
    <row r="22" spans="1:17" ht="18" x14ac:dyDescent="0.35">
      <c r="A22" s="57"/>
      <c r="B22" s="57"/>
      <c r="C22" s="57"/>
      <c r="D22" s="57"/>
      <c r="E22" s="57"/>
      <c r="F22" s="57"/>
      <c r="G22" s="57"/>
      <c r="H22" s="57"/>
      <c r="I22" s="57"/>
      <c r="J22" s="57"/>
      <c r="K22" s="57"/>
      <c r="L22" s="57"/>
      <c r="M22" s="57"/>
      <c r="N22" s="57"/>
      <c r="O22" s="57"/>
      <c r="P22" s="57"/>
      <c r="Q22" s="57"/>
    </row>
    <row r="23" spans="1:17" ht="18" x14ac:dyDescent="0.35">
      <c r="A23" s="58" t="s">
        <v>24</v>
      </c>
      <c r="B23" s="29" t="s">
        <v>49</v>
      </c>
      <c r="C23" s="57"/>
      <c r="D23" s="57"/>
      <c r="E23" s="57"/>
      <c r="F23" s="57"/>
      <c r="G23" s="57"/>
      <c r="H23" s="57"/>
      <c r="I23" s="57"/>
      <c r="J23" s="57"/>
      <c r="K23" s="57"/>
      <c r="L23" s="57"/>
      <c r="M23" s="57"/>
      <c r="N23" s="57"/>
      <c r="O23" s="57"/>
      <c r="P23" s="57"/>
      <c r="Q23" s="57"/>
    </row>
    <row r="24" spans="1:17" ht="18" x14ac:dyDescent="0.35">
      <c r="A24" s="57"/>
      <c r="B24" s="59" t="s">
        <v>50</v>
      </c>
      <c r="C24" s="57"/>
      <c r="D24" s="57"/>
      <c r="E24" s="57"/>
      <c r="F24" s="60"/>
      <c r="G24" s="57"/>
      <c r="H24" s="57"/>
      <c r="I24" s="57"/>
      <c r="J24" s="57"/>
      <c r="K24" s="57"/>
      <c r="L24" s="57"/>
      <c r="M24" s="57"/>
      <c r="N24" s="57"/>
      <c r="O24" s="57"/>
      <c r="P24" s="57"/>
      <c r="Q24" s="57"/>
    </row>
    <row r="25" spans="1:17" ht="18" x14ac:dyDescent="0.35">
      <c r="A25" s="57"/>
      <c r="B25" s="59" t="s">
        <v>52</v>
      </c>
      <c r="C25" s="57"/>
      <c r="D25" s="57"/>
      <c r="E25" s="57"/>
      <c r="F25" s="57"/>
      <c r="G25" s="57"/>
      <c r="H25" s="57"/>
      <c r="I25" s="57"/>
      <c r="J25" s="57"/>
      <c r="K25" s="57"/>
      <c r="L25" s="57"/>
      <c r="M25" s="57"/>
      <c r="N25" s="57"/>
      <c r="O25" s="57"/>
      <c r="P25" s="57"/>
      <c r="Q25" s="57"/>
    </row>
    <row r="26" spans="1:17" ht="18" x14ac:dyDescent="0.35">
      <c r="A26" s="57"/>
      <c r="B26" s="61" t="s">
        <v>51</v>
      </c>
      <c r="C26" s="57"/>
      <c r="D26" s="57"/>
      <c r="E26" s="57"/>
      <c r="F26" s="57"/>
      <c r="G26" s="57"/>
      <c r="H26" s="57"/>
      <c r="I26" s="57"/>
      <c r="J26" s="57"/>
      <c r="K26" s="57"/>
      <c r="L26" s="57"/>
      <c r="M26" s="57"/>
      <c r="N26" s="57"/>
      <c r="O26" s="57"/>
      <c r="P26" s="57"/>
      <c r="Q26" s="57"/>
    </row>
    <row r="27" spans="1:17" ht="18" x14ac:dyDescent="0.35">
      <c r="A27" s="57"/>
      <c r="B27" s="57"/>
      <c r="C27" s="57"/>
      <c r="D27" s="57"/>
      <c r="E27" s="57"/>
      <c r="F27" s="57"/>
      <c r="G27" s="57"/>
      <c r="H27" s="57"/>
      <c r="I27" s="57"/>
      <c r="J27" s="57"/>
      <c r="K27" s="57"/>
      <c r="L27" s="57"/>
      <c r="M27" s="57"/>
      <c r="N27" s="57"/>
      <c r="O27" s="57"/>
      <c r="P27" s="57"/>
      <c r="Q27" s="57"/>
    </row>
    <row r="28" spans="1:17" ht="18" x14ac:dyDescent="0.35">
      <c r="A28" s="57" t="s">
        <v>39</v>
      </c>
      <c r="B28" s="57"/>
      <c r="C28" s="57"/>
      <c r="D28" s="57"/>
      <c r="E28" s="57"/>
      <c r="F28" s="57"/>
      <c r="G28" s="57"/>
      <c r="H28" s="57"/>
      <c r="I28" s="57"/>
      <c r="J28" s="57"/>
      <c r="K28" s="57"/>
      <c r="L28" s="57"/>
      <c r="M28" s="57"/>
      <c r="N28" s="57"/>
      <c r="O28" s="57"/>
      <c r="P28" s="57"/>
      <c r="Q28" s="57"/>
    </row>
    <row r="29" spans="1:17" ht="18" x14ac:dyDescent="0.35">
      <c r="A29" s="57"/>
      <c r="B29" s="57"/>
      <c r="C29" s="57"/>
      <c r="D29" s="57"/>
      <c r="E29" s="57"/>
      <c r="F29" s="57"/>
      <c r="G29" s="57"/>
      <c r="H29" s="57"/>
      <c r="I29" s="57"/>
      <c r="J29" s="57"/>
      <c r="K29" s="57"/>
      <c r="L29" s="57"/>
      <c r="M29" s="57"/>
      <c r="N29" s="57"/>
      <c r="O29" s="57"/>
      <c r="P29" s="57"/>
      <c r="Q29" s="57"/>
    </row>
    <row r="30" spans="1:17" ht="18" x14ac:dyDescent="0.35">
      <c r="A30" s="58" t="s">
        <v>24</v>
      </c>
      <c r="B30" s="29" t="s">
        <v>75</v>
      </c>
      <c r="C30" s="57"/>
      <c r="D30" s="57"/>
      <c r="E30" s="57"/>
      <c r="F30" s="57"/>
      <c r="G30" s="57"/>
      <c r="H30" s="57"/>
      <c r="I30" s="57"/>
      <c r="J30" s="57"/>
      <c r="K30" s="57"/>
      <c r="L30" s="57"/>
      <c r="M30" s="57"/>
      <c r="N30" s="57"/>
      <c r="O30" s="57"/>
      <c r="P30" s="57"/>
      <c r="Q30" s="57"/>
    </row>
    <row r="31" spans="1:17" ht="18" x14ac:dyDescent="0.35">
      <c r="A31" s="57"/>
      <c r="B31" s="57"/>
      <c r="C31" s="57"/>
      <c r="D31" s="57"/>
      <c r="E31" s="57"/>
      <c r="F31" s="57"/>
      <c r="G31" s="57"/>
      <c r="H31" s="57"/>
      <c r="I31" s="57"/>
      <c r="J31" s="57"/>
      <c r="K31" s="57"/>
      <c r="L31" s="57"/>
      <c r="M31" s="57"/>
      <c r="N31" s="57"/>
      <c r="O31" s="57"/>
      <c r="P31" s="57"/>
      <c r="Q31" s="57"/>
    </row>
    <row r="32" spans="1:17" ht="18" x14ac:dyDescent="0.35">
      <c r="A32" s="57"/>
      <c r="B32" s="57"/>
      <c r="C32" s="57"/>
      <c r="D32" s="57"/>
      <c r="E32" s="57"/>
      <c r="F32" s="57"/>
      <c r="G32" s="57"/>
      <c r="H32" s="57"/>
      <c r="I32" s="57"/>
      <c r="J32" s="57"/>
      <c r="K32" s="57"/>
      <c r="L32" s="57"/>
      <c r="M32" s="57"/>
      <c r="N32" s="57"/>
      <c r="O32" s="57"/>
      <c r="P32" s="57"/>
      <c r="Q32" s="57"/>
    </row>
    <row r="33" spans="1:17" ht="18" x14ac:dyDescent="0.35">
      <c r="A33" s="57" t="s">
        <v>40</v>
      </c>
      <c r="B33" s="57"/>
      <c r="C33" s="57"/>
      <c r="D33" s="57"/>
      <c r="E33" s="57"/>
      <c r="F33" s="57"/>
      <c r="G33" s="57"/>
      <c r="H33" s="57"/>
      <c r="I33" s="57"/>
      <c r="J33" s="57"/>
      <c r="K33" s="57"/>
      <c r="L33" s="57"/>
      <c r="M33" s="57"/>
      <c r="N33" s="57"/>
      <c r="O33" s="57"/>
      <c r="P33" s="57"/>
      <c r="Q33" s="57"/>
    </row>
    <row r="34" spans="1:17" ht="18" x14ac:dyDescent="0.35">
      <c r="A34" s="57"/>
      <c r="B34" s="57"/>
      <c r="C34" s="57"/>
      <c r="D34" s="57"/>
      <c r="E34" s="57"/>
      <c r="F34" s="57"/>
      <c r="G34" s="57"/>
      <c r="H34" s="57"/>
      <c r="I34" s="57"/>
      <c r="J34" s="57"/>
      <c r="K34" s="57"/>
      <c r="L34" s="57"/>
      <c r="M34" s="57"/>
      <c r="N34" s="57"/>
      <c r="O34" s="57"/>
      <c r="P34" s="57"/>
      <c r="Q34" s="57"/>
    </row>
    <row r="35" spans="1:17" ht="18" x14ac:dyDescent="0.35">
      <c r="A35" s="58" t="s">
        <v>24</v>
      </c>
      <c r="B35" s="29" t="s">
        <v>76</v>
      </c>
      <c r="C35" s="57"/>
      <c r="D35" s="57"/>
      <c r="E35" s="57"/>
      <c r="F35" s="57"/>
      <c r="G35" s="57"/>
      <c r="H35" s="57"/>
      <c r="I35" s="57"/>
      <c r="J35" s="57"/>
      <c r="K35" s="57"/>
      <c r="L35" s="57"/>
      <c r="M35" s="57"/>
      <c r="N35" s="57"/>
      <c r="O35" s="57"/>
      <c r="P35" s="57"/>
      <c r="Q35" s="57"/>
    </row>
    <row r="36" spans="1:17" ht="18" x14ac:dyDescent="0.35">
      <c r="A36" s="57"/>
      <c r="B36" s="57"/>
      <c r="C36" s="57"/>
      <c r="D36" s="57"/>
      <c r="E36" s="57"/>
      <c r="F36" s="57"/>
      <c r="G36" s="57"/>
      <c r="H36" s="57"/>
      <c r="I36" s="57"/>
      <c r="J36" s="57"/>
      <c r="K36" s="57"/>
      <c r="L36" s="57"/>
      <c r="M36" s="57"/>
      <c r="N36" s="57"/>
      <c r="O36" s="57"/>
      <c r="P36" s="57"/>
      <c r="Q36" s="57"/>
    </row>
    <row r="37" spans="1:17" ht="18" x14ac:dyDescent="0.35">
      <c r="A37" s="57"/>
      <c r="B37" s="57"/>
      <c r="C37" s="57"/>
      <c r="D37" s="57"/>
      <c r="E37" s="57"/>
      <c r="F37" s="57"/>
      <c r="G37" s="57"/>
      <c r="H37" s="57"/>
      <c r="I37" s="57"/>
      <c r="J37" s="57"/>
      <c r="K37" s="57"/>
      <c r="L37" s="57"/>
      <c r="M37" s="57"/>
      <c r="N37" s="57"/>
      <c r="O37" s="57"/>
      <c r="P37" s="57"/>
      <c r="Q37" s="57"/>
    </row>
    <row r="38" spans="1:17" ht="18" x14ac:dyDescent="0.35">
      <c r="A38" s="57" t="s">
        <v>41</v>
      </c>
      <c r="B38" s="57"/>
      <c r="C38" s="57"/>
      <c r="D38" s="57"/>
      <c r="E38" s="57"/>
      <c r="F38" s="57"/>
      <c r="G38" s="57"/>
      <c r="H38" s="57"/>
      <c r="I38" s="57"/>
      <c r="J38" s="57"/>
      <c r="K38" s="57"/>
      <c r="L38" s="57"/>
      <c r="M38" s="57"/>
      <c r="N38" s="57"/>
      <c r="O38" s="57"/>
      <c r="P38" s="57"/>
      <c r="Q38" s="57"/>
    </row>
    <row r="39" spans="1:17" ht="18" x14ac:dyDescent="0.35">
      <c r="A39" s="57"/>
      <c r="B39" s="57"/>
      <c r="C39" s="57"/>
      <c r="D39" s="57"/>
      <c r="E39" s="57"/>
      <c r="F39" s="57"/>
      <c r="G39" s="57"/>
      <c r="H39" s="57"/>
      <c r="I39" s="57"/>
      <c r="J39" s="57"/>
      <c r="K39" s="57"/>
      <c r="L39" s="57"/>
      <c r="M39" s="57"/>
      <c r="N39" s="57"/>
      <c r="O39" s="57"/>
      <c r="P39" s="57"/>
      <c r="Q39" s="57"/>
    </row>
    <row r="40" spans="1:17" ht="18" x14ac:dyDescent="0.35">
      <c r="A40" s="58" t="s">
        <v>24</v>
      </c>
      <c r="B40" s="29" t="s">
        <v>80</v>
      </c>
      <c r="C40" s="57"/>
      <c r="D40" s="57"/>
      <c r="E40" s="57"/>
      <c r="F40" s="57"/>
      <c r="G40" s="57"/>
      <c r="H40" s="57"/>
      <c r="I40" s="57"/>
      <c r="J40" s="57"/>
      <c r="K40" s="57"/>
      <c r="L40" s="57"/>
      <c r="M40" s="57"/>
      <c r="N40" s="57"/>
      <c r="O40" s="57"/>
      <c r="P40" s="57"/>
      <c r="Q40" s="57"/>
    </row>
    <row r="41" spans="1:17" ht="18" x14ac:dyDescent="0.35">
      <c r="A41" s="57"/>
      <c r="B41" s="29" t="s">
        <v>81</v>
      </c>
      <c r="C41" s="57"/>
      <c r="D41" s="57"/>
      <c r="E41" s="57"/>
      <c r="F41" s="57"/>
      <c r="G41" s="57"/>
      <c r="H41" s="57"/>
      <c r="I41" s="57"/>
      <c r="J41" s="57"/>
      <c r="K41" s="57"/>
      <c r="L41" s="57"/>
      <c r="M41" s="57"/>
      <c r="N41" s="57"/>
      <c r="O41" s="57"/>
      <c r="P41" s="57"/>
      <c r="Q41" s="57"/>
    </row>
    <row r="42" spans="1:17" ht="18" x14ac:dyDescent="0.35">
      <c r="A42" s="57"/>
      <c r="B42" s="57"/>
      <c r="C42" s="57"/>
      <c r="D42" s="57"/>
      <c r="E42" s="57"/>
      <c r="F42" s="57"/>
      <c r="G42" s="57"/>
      <c r="H42" s="57"/>
      <c r="I42" s="57"/>
      <c r="J42" s="57"/>
      <c r="K42" s="57"/>
      <c r="L42" s="57"/>
      <c r="M42" s="57"/>
      <c r="N42" s="57"/>
      <c r="O42" s="57"/>
      <c r="P42" s="57"/>
      <c r="Q42" s="57"/>
    </row>
    <row r="43" spans="1:17" ht="18" x14ac:dyDescent="0.35">
      <c r="A43" s="57" t="s">
        <v>42</v>
      </c>
      <c r="B43" s="57"/>
      <c r="C43" s="57"/>
      <c r="D43" s="57"/>
      <c r="E43" s="57"/>
      <c r="F43" s="57"/>
      <c r="G43" s="57"/>
      <c r="H43" s="57"/>
      <c r="I43" s="57"/>
      <c r="J43" s="57"/>
      <c r="K43" s="57"/>
      <c r="L43" s="57"/>
      <c r="M43" s="57"/>
      <c r="N43" s="57"/>
      <c r="O43" s="57"/>
      <c r="P43" s="57"/>
      <c r="Q43" s="57"/>
    </row>
    <row r="44" spans="1:17" ht="18" x14ac:dyDescent="0.35">
      <c r="A44" s="57"/>
      <c r="B44" s="57"/>
      <c r="C44" s="57"/>
      <c r="D44" s="57"/>
      <c r="E44" s="57"/>
      <c r="F44" s="57"/>
      <c r="G44" s="57"/>
      <c r="H44" s="57"/>
      <c r="I44" s="57"/>
      <c r="J44" s="57"/>
      <c r="K44" s="57"/>
      <c r="L44" s="57"/>
      <c r="M44" s="57"/>
      <c r="N44" s="57"/>
      <c r="O44" s="57"/>
      <c r="P44" s="57"/>
      <c r="Q44" s="57"/>
    </row>
    <row r="45" spans="1:17" ht="18" x14ac:dyDescent="0.35">
      <c r="A45" s="58" t="s">
        <v>24</v>
      </c>
      <c r="B45" s="29" t="s">
        <v>78</v>
      </c>
      <c r="C45" s="57"/>
      <c r="D45" s="57"/>
      <c r="E45" s="57"/>
      <c r="F45" s="57"/>
      <c r="G45" s="57"/>
      <c r="H45" s="57"/>
      <c r="I45" s="57"/>
      <c r="J45" s="57"/>
      <c r="K45" s="57"/>
      <c r="L45" s="57"/>
      <c r="M45" s="57"/>
      <c r="N45" s="57"/>
      <c r="O45" s="57"/>
      <c r="P45" s="57"/>
      <c r="Q45" s="57"/>
    </row>
    <row r="46" spans="1:17" ht="18" x14ac:dyDescent="0.35">
      <c r="A46" s="57"/>
      <c r="B46" s="62" t="s">
        <v>79</v>
      </c>
      <c r="C46" s="57"/>
      <c r="D46" s="57"/>
      <c r="E46" s="57"/>
      <c r="F46" s="57"/>
      <c r="G46" s="57"/>
      <c r="H46" s="57"/>
      <c r="I46" s="57"/>
      <c r="J46" s="57"/>
      <c r="K46" s="57"/>
      <c r="L46" s="57"/>
      <c r="M46" s="57"/>
      <c r="N46" s="57"/>
      <c r="O46" s="57"/>
      <c r="P46" s="57"/>
      <c r="Q46" s="57"/>
    </row>
    <row r="47" spans="1:17" ht="18" x14ac:dyDescent="0.35">
      <c r="A47" s="57"/>
      <c r="B47" s="57"/>
      <c r="C47" s="57"/>
      <c r="D47" s="57"/>
      <c r="E47" s="57"/>
      <c r="F47" s="57"/>
      <c r="G47" s="57"/>
      <c r="H47" s="57"/>
      <c r="I47" s="57"/>
      <c r="J47" s="57"/>
      <c r="K47" s="57"/>
      <c r="L47" s="57"/>
      <c r="M47" s="57"/>
      <c r="N47" s="57"/>
      <c r="O47" s="57"/>
      <c r="P47" s="57"/>
      <c r="Q47" s="57"/>
    </row>
    <row r="48" spans="1:17" ht="18" x14ac:dyDescent="0.35">
      <c r="A48" s="57" t="s">
        <v>43</v>
      </c>
      <c r="B48" s="57"/>
      <c r="C48" s="57"/>
      <c r="D48" s="57"/>
      <c r="E48" s="57"/>
      <c r="F48" s="57"/>
      <c r="G48" s="57"/>
      <c r="H48" s="57"/>
      <c r="I48" s="57"/>
      <c r="J48" s="57"/>
      <c r="K48" s="57"/>
      <c r="L48" s="57"/>
      <c r="M48" s="57"/>
      <c r="N48" s="57"/>
      <c r="O48" s="57"/>
      <c r="P48" s="57"/>
      <c r="Q48" s="57"/>
    </row>
    <row r="49" spans="1:17" ht="18" x14ac:dyDescent="0.35">
      <c r="A49" s="57"/>
      <c r="B49" s="57"/>
      <c r="C49" s="57"/>
      <c r="D49" s="57"/>
      <c r="E49" s="57"/>
      <c r="F49" s="57"/>
      <c r="G49" s="57"/>
      <c r="H49" s="57"/>
      <c r="I49" s="57"/>
      <c r="J49" s="57"/>
      <c r="K49" s="57"/>
      <c r="L49" s="57"/>
      <c r="M49" s="57"/>
      <c r="N49" s="57"/>
      <c r="O49" s="57"/>
      <c r="P49" s="57"/>
      <c r="Q49" s="57"/>
    </row>
    <row r="50" spans="1:17" x14ac:dyDescent="0.3">
      <c r="A50" s="17"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Depreciation Calculator</vt:lpstr>
      <vt:lpstr>Advanced Problem Statements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Abhijeet Kedar</cp:lastModifiedBy>
  <cp:lastPrinted>2019-12-30T11:34:18Z</cp:lastPrinted>
  <dcterms:created xsi:type="dcterms:W3CDTF">2019-12-30T10:28:43Z</dcterms:created>
  <dcterms:modified xsi:type="dcterms:W3CDTF">2025-06-07T17:54:06Z</dcterms:modified>
</cp:coreProperties>
</file>